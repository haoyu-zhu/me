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利润表" sheetId="1" state="visible" r:id="rId1"/>
    <sheet xmlns:r="http://schemas.openxmlformats.org/officeDocument/2006/relationships" name="B_业务分析" sheetId="2" state="visible" r:id="rId2"/>
    <sheet xmlns:r="http://schemas.openxmlformats.org/officeDocument/2006/relationships" name="C_现金流" sheetId="3" state="visible" r:id="rId3"/>
    <sheet xmlns:r="http://schemas.openxmlformats.org/officeDocument/2006/relationships" name="D_资产负债表" sheetId="4" state="visible" r:id="rId4"/>
    <sheet xmlns:r="http://schemas.openxmlformats.org/officeDocument/2006/relationships" name="E_回报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10"/>
    </font>
    <font>
      <name val="微软雅黑"/>
      <b val="1"/>
      <color rgb="001F3864"/>
      <sz val="12"/>
    </font>
    <font>
      <name val="微软雅黑"/>
      <b val="1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营业总收入 / 毛利 / 净利润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'A_利润表'!A28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'A_利润表'!$B$27:$E$27</f>
            </numRef>
          </cat>
          <val>
            <numRef>
              <f>'A_利润表'!$B$28:$E$28</f>
            </numRef>
          </val>
        </ser>
        <ser>
          <idx val="1"/>
          <order val="1"/>
          <tx>
            <strRef>
              <f>'A_利润表'!A29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'A_利润表'!$B$27:$E$27</f>
            </numRef>
          </cat>
          <val>
            <numRef>
              <f>'A_利润表'!$B$29:$E$29</f>
            </numRef>
          </val>
        </ser>
        <ser>
          <idx val="2"/>
          <order val="2"/>
          <tx>
            <strRef>
              <f>'A_利润表'!A30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'A_利润表'!$B$27:$E$27</f>
            </numRef>
          </cat>
          <val>
            <numRef>
              <f>'A_利润表'!$B$30:$E$30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'A_利润表'!A54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'A_利润表'!$B$53:$E$53</f>
            </numRef>
          </cat>
          <val>
            <numRef>
              <f>'A_利润表'!$B$54:$E$54</f>
            </numRef>
          </val>
        </ser>
        <ser>
          <idx val="1"/>
          <order val="1"/>
          <tx>
            <strRef>
              <f>'A_利润表'!A55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'A_利润表'!$B$53:$E$53</f>
            </numRef>
          </cat>
          <val>
            <numRef>
              <f>'A_利润表'!$B$55:$E$55</f>
            </numRef>
          </val>
        </ser>
        <ser>
          <idx val="2"/>
          <order val="2"/>
          <tx>
            <strRef>
              <f>'A_利润表'!A56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'A_利润表'!$B$53:$E$53</f>
            </numRef>
          </cat>
          <val>
            <numRef>
              <f>'A_利润表'!$B$56:$E$56</f>
            </numRef>
          </val>
        </ser>
        <ser>
          <idx val="3"/>
          <order val="3"/>
          <tx>
            <strRef>
              <f>'A_利润表'!A57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'A_利润表'!$B$53:$E$53</f>
            </numRef>
          </cat>
          <val>
            <numRef>
              <f>'A_利润表'!$B$57:$E$57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盈利比率(%)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'A_利润表'!A81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'A_利润表'!$B$80:$E$80</f>
            </numRef>
          </cat>
          <val>
            <numRef>
              <f>'A_利润表'!$B$81:$E$81</f>
            </numRef>
          </val>
          <smooth val="1"/>
        </ser>
        <ser>
          <idx val="1"/>
          <order val="1"/>
          <tx>
            <strRef>
              <f>'A_利润表'!A82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'A_利润表'!$B$80:$E$80</f>
            </numRef>
          </cat>
          <val>
            <numRef>
              <f>'A_利润表'!$B$82:$E$82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 / 毛利(%)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'A_利润表'!A106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'A_利润表'!$B$105:$E$105</f>
            </numRef>
          </cat>
          <val>
            <numRef>
              <f>'A_利润表'!$B$106:$E$106</f>
            </numRef>
          </val>
          <smooth val="1"/>
        </ser>
        <ser>
          <idx val="1"/>
          <order val="1"/>
          <tx>
            <strRef>
              <f>'A_利润表'!A107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'A_利润表'!$B$105:$E$105</f>
            </numRef>
          </cat>
          <val>
            <numRef>
              <f>'A_利润表'!$B$107:$E$107</f>
            </numRef>
          </val>
          <smooth val="1"/>
        </ser>
        <ser>
          <idx val="2"/>
          <order val="2"/>
          <tx>
            <strRef>
              <f>'A_利润表'!A108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'A_利润表'!$B$105:$E$105</f>
            </numRef>
          </cat>
          <val>
            <numRef>
              <f>'A_利润表'!$B$108:$E$108</f>
            </numRef>
          </val>
          <smooth val="1"/>
        </ser>
        <ser>
          <idx val="3"/>
          <order val="3"/>
          <tx>
            <strRef>
              <f>'A_利润表'!A109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'A_利润表'!$B$105:$E$105</f>
            </numRef>
          </cat>
          <val>
            <numRef>
              <f>'A_利润表'!$B$109:$E$109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四费占毛利堆叠(%)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'A_利润表'!A133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'A_利润表'!$B$132:$E$132</f>
            </numRef>
          </cat>
          <val>
            <numRef>
              <f>'A_利润表'!$B$133:$E$133</f>
            </numRef>
          </val>
        </ser>
        <ser>
          <idx val="1"/>
          <order val="1"/>
          <tx>
            <strRef>
              <f>'A_利润表'!A134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'A_利润表'!$B$132:$E$132</f>
            </numRef>
          </cat>
          <val>
            <numRef>
              <f>'A_利润表'!$B$134:$E$134</f>
            </numRef>
          </val>
        </ser>
        <ser>
          <idx val="2"/>
          <order val="2"/>
          <tx>
            <strRef>
              <f>'A_利润表'!A135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'A_利润表'!$B$132:$E$132</f>
            </numRef>
          </cat>
          <val>
            <numRef>
              <f>'A_利润表'!$B$135:$E$135</f>
            </numRef>
          </val>
        </ser>
        <ser>
          <idx val="3"/>
          <order val="3"/>
          <tx>
            <strRef>
              <f>'A_利润表'!A136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'A_利润表'!$B$132:$E$132</f>
            </numRef>
          </cat>
          <val>
            <numRef>
              <f>'A_利润表'!$B$136:$E$136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业务线收入占比(%)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'B_业务分析'!A12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'B_业务分析'!$B$12:$E$12</f>
            </numRef>
          </val>
        </ser>
        <ser>
          <idx val="1"/>
          <order val="1"/>
          <tx>
            <strRef>
              <f>'B_业务分析'!A13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'B_业务分析'!$B$13:$E$13</f>
            </numRef>
          </val>
        </ser>
        <ser>
          <idx val="2"/>
          <order val="2"/>
          <tx>
            <strRef>
              <f>'B_业务分析'!A14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'B_业务分析'!$B$14:$E$14</f>
            </numRef>
          </val>
        </ser>
        <ser>
          <idx val="3"/>
          <order val="3"/>
          <tx>
            <strRef>
              <f>'B_业务分析'!A15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'B_业务分析'!$B$15:$E$15</f>
            </numRef>
          </val>
        </ser>
        <ser>
          <idx val="4"/>
          <order val="4"/>
          <tx>
            <strRef>
              <f>'B_业务分析'!A16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'B_业务分析'!$B$16:$E$16</f>
            </numRef>
          </val>
        </ser>
        <ser>
          <idx val="5"/>
          <order val="5"/>
          <tx>
            <strRef>
              <f>'B_业务分析'!A17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'B_业务分析'!$B$12:$E$12</f>
            </numRef>
          </cat>
          <val>
            <numRef>
              <f>'B_业务分析'!$B$17:$E$17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业务线毛利率(%)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'B_业务分析'!A38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'B_业务分析'!$B$38:$E$38</f>
            </numRef>
          </cat>
          <val>
            <numRef>
              <f>'B_业务分析'!$B$38:$E$38</f>
            </numRef>
          </val>
          <smooth val="1"/>
        </ser>
        <ser>
          <idx val="1"/>
          <order val="1"/>
          <tx>
            <strRef>
              <f>'B_业务分析'!A39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'B_业务分析'!$B$38:$E$38</f>
            </numRef>
          </cat>
          <val>
            <numRef>
              <f>'B_业务分析'!$B$39:$E$39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分地区收入(百万美元)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'B_业务分析'!A62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'B_业务分析'!$B$62:$E$62</f>
            </numRef>
          </val>
        </ser>
        <ser>
          <idx val="1"/>
          <order val="1"/>
          <tx>
            <strRef>
              <f>'B_业务分析'!A63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'B_业务分析'!$B$63:$E$63</f>
            </numRef>
          </val>
        </ser>
        <ser>
          <idx val="2"/>
          <order val="2"/>
          <tx>
            <strRef>
              <f>'B_业务分析'!A64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'B_业务分析'!$B$64:$E$64</f>
            </numRef>
          </val>
        </ser>
        <ser>
          <idx val="3"/>
          <order val="3"/>
          <tx>
            <strRef>
              <f>'B_业务分析'!A65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'B_业务分析'!$B$65:$E$65</f>
            </numRef>
          </val>
        </ser>
        <ser>
          <idx val="4"/>
          <order val="4"/>
          <tx>
            <strRef>
              <f>'B_业务分析'!A66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'B_业务分析'!$B$66:$E$66</f>
            </numRef>
          </val>
        </ser>
        <ser>
          <idx val="5"/>
          <order val="5"/>
          <tx>
            <strRef>
              <f>'B_业务分析'!A67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'B_业务分析'!$B$62:$E$62</f>
            </numRef>
          </cat>
          <val>
            <numRef>
              <f>'B_业务分析'!$B$67:$E$67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前五大集中度(%)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'B_业务分析'!A90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'B_业务分析'!$B$90:$E$90</f>
            </numRef>
          </cat>
          <val>
            <numRef>
              <f>'B_业务分析'!$B$90:$E$90</f>
            </numRef>
          </val>
          <smooth val="1"/>
        </ser>
        <ser>
          <idx val="1"/>
          <order val="1"/>
          <tx>
            <strRef>
              <f>'B_业务分析'!A91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'B_业务分析'!$B$90:$E$90</f>
            </numRef>
          </cat>
          <val>
            <numRef>
              <f>'B_业务分析'!$B$91:$E$91</f>
            </numRef>
          </val>
          <smooth val="1"/>
        </ser>
        <ser>
          <idx val="2"/>
          <order val="2"/>
          <tx>
            <strRef>
              <f>'B_业务分析'!A92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'B_业务分析'!$B$90:$E$90</f>
            </numRef>
          </cat>
          <val>
            <numRef>
              <f>'B_业务分析'!$B$92:$E$92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2025年客户集中度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'B_业务分析'!$A$114:$A$115</f>
            </numRef>
          </cat>
          <val>
            <numRef>
              <f>'B_业务分析'!$B$114:$B$115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2025年供应商集中度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'B_业务分析'!$A$114:$A$115</f>
            </numRef>
          </cat>
          <val>
            <numRef>
              <f>'B_业务分析'!$C$114:$C$115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员工总数 vs 技术人员(万人)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'B_业务分析'!A138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'B_业务分析'!$B$138:$E$138</f>
            </numRef>
          </cat>
          <val>
            <numRef>
              <f>'B_业务分析'!$B$138:$E$138</f>
            </numRef>
          </val>
        </ser>
        <ser>
          <idx val="1"/>
          <order val="1"/>
          <tx>
            <strRef>
              <f>'B_业务分析'!A139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cat>
            <numRef>
              <f>'B_业务分析'!$B$138:$E$138</f>
            </numRef>
          </cat>
          <val>
            <numRef>
              <f>'B_业务分析'!$B$139:$E$139</f>
            </numRef>
          </val>
        </ser>
        <ser>
          <idx val="2"/>
          <order val="2"/>
          <tx>
            <strRef>
              <f>'B_业务分析'!A140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'B_业务分析'!$B$138:$E$138</f>
            </numRef>
          </cat>
          <val>
            <numRef>
              <f>'B_业务分析'!$B$140:$E$140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三类现金流净额(百万美元)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'C_现金流'!A6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'C_现金流'!$B$5:$E$5</f>
            </numRef>
          </cat>
          <val>
            <numRef>
              <f>'C_现金流'!$B$6:$E$6</f>
            </numRef>
          </val>
        </ser>
        <ser>
          <idx val="1"/>
          <order val="1"/>
          <tx>
            <strRef>
              <f>'C_现金流'!A7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'C_现金流'!$B$5:$E$5</f>
            </numRef>
          </cat>
          <val>
            <numRef>
              <f>'C_现金流'!$B$7:$E$7</f>
            </numRef>
          </val>
        </ser>
        <ser>
          <idx val="2"/>
          <order val="2"/>
          <tx>
            <strRef>
              <f>'C_现金流'!A8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cat>
            <numRef>
              <f>'C_现金流'!$B$5:$E$5</f>
            </numRef>
          </cat>
          <val>
            <numRef>
              <f>'C_现金流'!$B$8:$E$8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OCF vs 净利润(百万美元)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'C_现金流'!$B$31:$E$31</f>
            </numRef>
          </cat>
          <val>
            <numRef>
              <f>'C_现金流'!$B$32:$E$32</f>
            </numRef>
          </val>
        </ser>
        <ser>
          <idx val="1"/>
          <order val="1"/>
          <tx>
            <strRef>
              <f>'C_现金流'!A33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'C_现金流'!$B$31:$E$31</f>
            </numRef>
          </cat>
          <val>
            <numRef>
              <f>'C_现金流'!$B$33:$E$33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资本开支 Capex(百万美元)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'C_现金流'!A58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'C_现金流'!$B$57:$E$57</f>
            </numRef>
          </cat>
          <val>
            <numRef>
              <f>'C_现金流'!$B$58:$E$58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自由现金流 FCF(百万美元)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'C_现金流'!A83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cat>
            <numRef>
              <f>'C_现金流'!$B$82:$E$82</f>
            </numRef>
          </cat>
          <val>
            <numRef>
              <f>'C_现金流'!$B$83:$E$83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股东回报(百万美元)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'C_现金流'!A108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cat>
            <numRef>
              <f>'C_现金流'!$B$107:$E$107</f>
            </numRef>
          </cat>
          <val>
            <numRef>
              <f>'C_现金流'!$B$108:$E$108</f>
            </numRef>
          </val>
        </ser>
        <ser>
          <idx val="1"/>
          <order val="1"/>
          <tx>
            <strRef>
              <f>'C_现金流'!A109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 w="20000">
              <a:solidFill>
                <a:srgbClr val="806000"/>
              </a:solidFill>
              <a:prstDash val="solid"/>
            </a:ln>
          </spPr>
          <cat>
            <numRef>
              <f>'C_现金流'!$B$107:$E$107</f>
            </numRef>
          </cat>
          <val>
            <numRef>
              <f>'C_现金流'!$B$109:$E$109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期末现金及等价物余额(百万美元)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'C_现金流'!A134</f>
            </strRef>
          </tx>
          <spPr>
            <a:solidFill xmlns:a="http://schemas.openxmlformats.org/drawingml/2006/main">
              <a:srgbClr val="385723"/>
            </a:solidFill>
            <a:ln xmlns:a="http://schemas.openxmlformats.org/drawingml/2006/main" w="20000">
              <a:solidFill>
                <a:srgbClr val="385723"/>
              </a:solidFill>
              <a:prstDash val="solid"/>
            </a:ln>
          </spPr>
          <cat>
            <numRef>
              <f>'C_现金流'!$B$133:$E$133</f>
            </numRef>
          </cat>
          <val>
            <numRef>
              <f>'C_现金流'!$B$134:$E$134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 / 负债 / 所有者权益(百万美元)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'D_资产负债表'!A6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cat>
            <numRef>
              <f>'D_资产负债表'!$B$5:$E$5</f>
            </numRef>
          </cat>
          <val>
            <numRef>
              <f>'D_资产负债表'!$B$6:$E$6</f>
            </numRef>
          </val>
        </ser>
        <ser>
          <idx val="1"/>
          <order val="1"/>
          <tx>
            <strRef>
              <f>'D_资产负债表'!A7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'D_资产负债表'!$B$5:$E$5</f>
            </numRef>
          </cat>
          <val>
            <numRef>
              <f>'D_资产负债表'!$B$7:$E$7</f>
            </numRef>
          </val>
        </ser>
        <ser>
          <idx val="2"/>
          <order val="2"/>
          <tx>
            <strRef>
              <f>'D_资产负债表'!A8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'D_资产负债表'!$B$5:$E$5</f>
            </numRef>
          </cat>
          <val>
            <numRef>
              <f>'D_资产负债表'!$B$8:$E$8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杠杆趋势(%)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'D_资产负债表'!A33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'D_资产负债表'!$B$32:$E$32</f>
            </numRef>
          </cat>
          <val>
            <numRef>
              <f>'D_资产负债表'!$B$33:$E$33</f>
            </numRef>
          </val>
          <smooth val="1"/>
        </ser>
        <ser>
          <idx val="1"/>
          <order val="1"/>
          <tx>
            <strRef>
              <f>'D_资产负债表'!A34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'D_资产负债表'!$B$32:$E$32</f>
            </numRef>
          </cat>
          <val>
            <numRef>
              <f>'D_资产负债表'!$B$34:$E$34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有息负债结构(百万美元)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'D_资产负债表'!A58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'D_资产负债表'!$B$57:$E$57</f>
            </numRef>
          </cat>
          <val>
            <numRef>
              <f>'D_资产负债表'!$B$58:$E$58</f>
            </numRef>
          </val>
        </ser>
        <ser>
          <idx val="1"/>
          <order val="1"/>
          <tx>
            <strRef>
              <f>'D_资产负债表'!A59</f>
            </strRef>
          </tx>
          <spPr>
            <a:solidFill xmlns:a="http://schemas.openxmlformats.org/drawingml/2006/main">
              <a:srgbClr val="F4978E"/>
            </a:solidFill>
            <a:ln xmlns:a="http://schemas.openxmlformats.org/drawingml/2006/main" w="20000">
              <a:solidFill>
                <a:srgbClr val="F4978E"/>
              </a:solidFill>
              <a:prstDash val="solid"/>
            </a:ln>
          </spPr>
          <cat>
            <numRef>
              <f>'D_资产负债表'!$B$57:$E$57</f>
            </numRef>
          </cat>
          <val>
            <numRef>
              <f>'D_资产负债表'!$B$59:$E$59</f>
            </numRef>
          </val>
        </ser>
        <ser>
          <idx val="2"/>
          <order val="2"/>
          <tx>
            <strRef>
              <f>'D_资产负债表'!A60</f>
            </strRef>
          </tx>
          <spPr>
            <a:solidFill xmlns:a="http://schemas.openxmlformats.org/drawingml/2006/main">
              <a:srgbClr val="8B0000"/>
            </a:solidFill>
            <a:ln xmlns:a="http://schemas.openxmlformats.org/drawingml/2006/main" w="20000">
              <a:solidFill>
                <a:srgbClr val="8B0000"/>
              </a:solidFill>
              <a:prstDash val="solid"/>
            </a:ln>
          </spPr>
          <cat>
            <numRef>
              <f>'D_资产负债表'!$B$57:$E$57</f>
            </numRef>
          </cat>
          <val>
            <numRef>
              <f>'D_资产负债表'!$B$60:$E$60</f>
            </numRef>
          </val>
        </ser>
        <ser>
          <idx val="3"/>
          <order val="3"/>
          <tx>
            <strRef>
              <f>'D_资产负债表'!A61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'D_资产负债表'!$B$57:$E$57</f>
            </numRef>
          </cat>
          <val>
            <numRef>
              <f>'D_资产负债表'!$B$61:$E$61</f>
            </numRef>
          </val>
        </ser>
        <ser>
          <idx val="4"/>
          <order val="4"/>
          <tx>
            <strRef>
              <f>'D_资产负债表'!A62</f>
            </strRef>
          </tx>
          <spPr>
            <a:solidFill xmlns:a="http://schemas.openxmlformats.org/drawingml/2006/main">
              <a:srgbClr val="9C6B30"/>
            </a:solidFill>
            <a:ln xmlns:a="http://schemas.openxmlformats.org/drawingml/2006/main" w="20000">
              <a:solidFill>
                <a:srgbClr val="9C6B30"/>
              </a:solidFill>
              <a:prstDash val="solid"/>
            </a:ln>
          </spPr>
          <cat>
            <numRef>
              <f>'D_资产负债表'!$B$57:$E$57</f>
            </numRef>
          </cat>
          <val>
            <numRef>
              <f>'D_资产负债表'!$B$62:$E$62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营运资本周转(天)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'D_资产负债表'!A89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'D_资产负债表'!$B$88:$E$88</f>
            </numRef>
          </cat>
          <val>
            <numRef>
              <f>'D_资产负债表'!$B$89:$E$89</f>
            </numRef>
          </val>
          <smooth val="1"/>
        </ser>
        <ser>
          <idx val="1"/>
          <order val="1"/>
          <tx>
            <strRef>
              <f>'D_资产负债表'!A90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'D_资产负债表'!$B$88:$E$88</f>
            </numRef>
          </cat>
          <val>
            <numRef>
              <f>'D_资产负债表'!$B$90:$E$90</f>
            </numRef>
          </val>
          <smooth val="1"/>
        </ser>
        <ser>
          <idx val="2"/>
          <order val="2"/>
          <tx>
            <strRef>
              <f>'D_资产负债表'!A91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'D_资产负债表'!$B$88:$E$88</f>
            </numRef>
          </cat>
          <val>
            <numRef>
              <f>'D_资产负债表'!$B$91:$E$91</f>
            </numRef>
          </val>
          <smooth val="1"/>
        </ser>
        <ser>
          <idx val="3"/>
          <order val="3"/>
          <tx>
            <strRef>
              <f>'D_资产负债表'!A92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'D_资产负债表'!$B$88:$E$88</f>
            </numRef>
          </cat>
          <val>
            <numRef>
              <f>'D_资产负债表'!$B$92:$E$92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2025年末资产结构</a:t>
            </a:r>
          </a:p>
        </rich>
      </tx>
    </title>
    <plotArea>
      <pieChart>
        <varyColors val="1"/>
        <ser>
          <idx val="0"/>
          <order val="0"/>
          <tx>
            <strRef>
              <f>'D_资产负债表'!B115</f>
            </strRef>
          </tx>
          <spPr>
            <a:ln xmlns:a="http://schemas.openxmlformats.org/drawingml/2006/main">
              <a:prstDash val="solid"/>
            </a:ln>
          </spPr>
          <cat>
            <numRef>
              <f>'D_资产负债表'!$A$116:$A$122</f>
            </numRef>
          </cat>
          <val>
            <numRef>
              <f>'D_资产负债表'!$B$116:$B$122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回报指标趋势(%)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'E_回报指标'!A6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'E_回报指标'!$B$5:$E$5</f>
            </numRef>
          </cat>
          <val>
            <numRef>
              <f>'E_回报指标'!$B$6:$E$6</f>
            </numRef>
          </val>
          <smooth val="1"/>
        </ser>
        <ser>
          <idx val="1"/>
          <order val="1"/>
          <tx>
            <strRef>
              <f>'E_回报指标'!A7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'E_回报指标'!$B$5:$E$5</f>
            </numRef>
          </cat>
          <val>
            <numRef>
              <f>'E_回报指标'!$B$7:$E$7</f>
            </numRef>
          </val>
          <smooth val="1"/>
        </ser>
        <ser>
          <idx val="2"/>
          <order val="2"/>
          <tx>
            <strRef>
              <f>'E_回报指标'!A8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'E_回报指标'!$B$5:$E$5</f>
            </numRef>
          </cat>
          <val>
            <numRef>
              <f>'E_回报指标'!$B$8:$E$8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杜邦三因子分解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'E_回报指标'!$B$31:$E$31</f>
            </numRef>
          </cat>
          <val>
            <numRef>
              <f>'E_回报指标'!$B$32:$E$32</f>
            </numRef>
          </val>
          <smooth val="1"/>
        </ser>
        <ser>
          <idx val="1"/>
          <order val="1"/>
          <tx>
            <strRef>
              <f>'E_回报指标'!A33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'E_回报指标'!$B$31:$E$31</f>
            </numRef>
          </cat>
          <val>
            <numRef>
              <f>'E_回报指标'!$B$33:$E$33</f>
            </numRef>
          </val>
          <smooth val="1"/>
        </ser>
        <ser>
          <idx val="2"/>
          <order val="2"/>
          <tx>
            <strRef>
              <f>'E_回报指标'!A34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'E_回报指标'!$B$31:$E$31</f>
            </numRef>
          </cat>
          <val>
            <numRef>
              <f>'E_回报指标'!$B$34:$E$34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%(净利率)/ 次 / 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Relationship Type="http://schemas.openxmlformats.org/officeDocument/2006/relationships/chart" Target="/xl/charts/chart12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58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83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110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137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</row>
      <rowOff>0</rowOff>
    </from>
    <ext cx="8286750" cy="2838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68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116</row>
      <rowOff>0</rowOff>
    </from>
    <ext cx="396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116</row>
      <rowOff>0</rowOff>
    </from>
    <ext cx="396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143</row>
      <rowOff>0</rowOff>
    </from>
    <ext cx="7920000" cy="34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85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111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136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123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0" customHeight="1">
      <c r="A1" s="1" t="inlineStr">
        <is>
          <t>Apple Inc 2022-2025 利润表(A 类)</t>
        </is>
      </c>
    </row>
    <row r="2" ht="22" customHeight="1">
      <c r="A2" s="2" t="inlineStr">
        <is>
          <t>数据源:2023.json, 2024.json, 2025.json    |    金额单位:百万美元    |    比率单位:%</t>
        </is>
      </c>
    </row>
    <row r="3" ht="26" customHeight="1">
      <c r="A3" s="3" t="inlineStr">
        <is>
          <t>0. 收支拆解(2025年)  — 收入=橙 / 成本=蓝 / 利润=红 / 净利=绿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8" customHeight="1"/>
    <row r="25" ht="8" customHeight="1"/>
    <row r="26" ht="26" customHeight="1">
      <c r="A26" s="3" t="inlineStr">
        <is>
          <t>1. 营业收入 / 毛利 / 净利润(百万美元)</t>
        </is>
      </c>
    </row>
    <row r="27" ht="36" customHeight="1">
      <c r="A27" s="4" t="inlineStr">
        <is>
          <t>指标(百万美元)</t>
        </is>
      </c>
      <c r="B27" s="4" t="inlineStr">
        <is>
          <t>2022</t>
        </is>
      </c>
      <c r="C27" s="4" t="inlineStr">
        <is>
          <t>2023</t>
        </is>
      </c>
      <c r="D27" s="4" t="inlineStr">
        <is>
          <t>2024</t>
        </is>
      </c>
      <c r="E27" s="4" t="inlineStr">
        <is>
          <t>2025</t>
        </is>
      </c>
    </row>
    <row r="28" ht="22" customHeight="1">
      <c r="A28" s="5" t="inlineStr">
        <is>
          <t>营业总收入</t>
        </is>
      </c>
      <c r="B28" s="6" t="n">
        <v>394328</v>
      </c>
      <c r="C28" s="6" t="n">
        <v>383285</v>
      </c>
      <c r="D28" s="6" t="n">
        <v>391035</v>
      </c>
      <c r="E28" s="6" t="n">
        <v>416161</v>
      </c>
    </row>
    <row r="29" ht="22" customHeight="1">
      <c r="A29" s="5" t="inlineStr">
        <is>
          <t>毛利</t>
        </is>
      </c>
      <c r="B29" s="6" t="n">
        <v>170782</v>
      </c>
      <c r="C29" s="6" t="n">
        <v>169148</v>
      </c>
      <c r="D29" s="6" t="n">
        <v>180683</v>
      </c>
      <c r="E29" s="6" t="n">
        <v>195201</v>
      </c>
    </row>
    <row r="30" ht="22" customHeight="1">
      <c r="A30" s="5" t="inlineStr">
        <is>
          <t>净利润(合并)</t>
        </is>
      </c>
      <c r="B30" s="6" t="n">
        <v>99803</v>
      </c>
      <c r="C30" s="6" t="n">
        <v>96995</v>
      </c>
      <c r="D30" s="6" t="n">
        <v>93736</v>
      </c>
      <c r="E30" s="6" t="n">
        <v>112010</v>
      </c>
    </row>
    <row r="31" ht="8" customHeight="1"/>
    <row r="51" ht="8" customHeight="1"/>
    <row r="52" ht="26" customHeight="1">
      <c r="A52" s="3" t="inlineStr">
        <is>
          <t>2. 四费(销售 / 管理 / 研发 / 财务,百万美元)</t>
        </is>
      </c>
    </row>
    <row r="53" ht="36" customHeight="1">
      <c r="A53" s="4" t="inlineStr">
        <is>
          <t>指标(百万美元)</t>
        </is>
      </c>
      <c r="B53" s="4" t="inlineStr">
        <is>
          <t>2022</t>
        </is>
      </c>
      <c r="C53" s="4" t="inlineStr">
        <is>
          <t>2023</t>
        </is>
      </c>
      <c r="D53" s="4" t="inlineStr">
        <is>
          <t>2024</t>
        </is>
      </c>
      <c r="E53" s="4" t="inlineStr">
        <is>
          <t>2025</t>
        </is>
      </c>
    </row>
    <row r="54" ht="22" customHeight="1">
      <c r="A54" s="5" t="inlineStr">
        <is>
          <t>销售费用</t>
        </is>
      </c>
      <c r="B54" s="6" t="n"/>
      <c r="C54" s="6" t="n"/>
      <c r="D54" s="6" t="n"/>
      <c r="E54" s="6" t="n"/>
    </row>
    <row r="55" ht="22" customHeight="1">
      <c r="A55" s="5" t="inlineStr">
        <is>
          <t>管理费用</t>
        </is>
      </c>
      <c r="B55" s="6" t="n">
        <v>25094</v>
      </c>
      <c r="C55" s="6" t="n">
        <v>24932</v>
      </c>
      <c r="D55" s="6" t="n">
        <v>26097</v>
      </c>
      <c r="E55" s="6" t="n">
        <v>27601</v>
      </c>
    </row>
    <row r="56" ht="22" customHeight="1">
      <c r="A56" s="5" t="inlineStr">
        <is>
          <t>研发费用</t>
        </is>
      </c>
      <c r="B56" s="6" t="n">
        <v>26251</v>
      </c>
      <c r="C56" s="6" t="n">
        <v>29915</v>
      </c>
      <c r="D56" s="6" t="n">
        <v>31370</v>
      </c>
      <c r="E56" s="6" t="n">
        <v>34550</v>
      </c>
    </row>
    <row r="57" ht="22" customHeight="1">
      <c r="A57" s="5" t="inlineStr">
        <is>
          <t>财务费用(净)</t>
        </is>
      </c>
      <c r="B57" s="6" t="n"/>
      <c r="C57" s="6" t="n"/>
      <c r="D57" s="6" t="n"/>
      <c r="E57" s="6" t="n"/>
    </row>
    <row r="58" ht="8" customHeight="1"/>
    <row r="78" ht="8" customHeight="1"/>
    <row r="79" ht="26" customHeight="1">
      <c r="A79" s="3" t="inlineStr">
        <is>
          <t>3. 盈利比率(毛利率 / 净利率)</t>
        </is>
      </c>
    </row>
    <row r="80" ht="36" customHeight="1">
      <c r="A80" s="4" t="inlineStr">
        <is>
          <t>比率 (%)</t>
        </is>
      </c>
      <c r="B80" s="4" t="inlineStr">
        <is>
          <t>2022</t>
        </is>
      </c>
      <c r="C80" s="4" t="inlineStr">
        <is>
          <t>2023</t>
        </is>
      </c>
      <c r="D80" s="4" t="inlineStr">
        <is>
          <t>2024</t>
        </is>
      </c>
      <c r="E80" s="4" t="inlineStr">
        <is>
          <t>2025</t>
        </is>
      </c>
    </row>
    <row r="81" ht="22" customHeight="1">
      <c r="A81" s="5" t="inlineStr">
        <is>
          <t>毛利率</t>
        </is>
      </c>
      <c r="B81" s="6" t="n">
        <v>43.31</v>
      </c>
      <c r="C81" s="6" t="n">
        <v>44.13</v>
      </c>
      <c r="D81" s="6" t="n">
        <v>46.21</v>
      </c>
      <c r="E81" s="6" t="n">
        <v>46.91</v>
      </c>
    </row>
    <row r="82" ht="22" customHeight="1">
      <c r="A82" s="5" t="inlineStr">
        <is>
          <t>净利率</t>
        </is>
      </c>
      <c r="B82" s="6" t="n">
        <v>25.31</v>
      </c>
      <c r="C82" s="6" t="n">
        <v>25.31</v>
      </c>
      <c r="D82" s="6" t="n">
        <v>23.97</v>
      </c>
      <c r="E82" s="6" t="n">
        <v>26.92</v>
      </c>
    </row>
    <row r="83" ht="8" customHeight="1"/>
    <row r="103" ht="8" customHeight="1"/>
    <row r="104" ht="26" customHeight="1">
      <c r="A104" s="3" t="inlineStr">
        <is>
          <t>4. 四费/毛利(销售 / 管理 / 研发 / 财务 占毛利,%)</t>
        </is>
      </c>
    </row>
    <row r="105" ht="36" customHeight="1">
      <c r="A105" s="4" t="inlineStr">
        <is>
          <t>占毛利 (%)</t>
        </is>
      </c>
      <c r="B105" s="4" t="inlineStr">
        <is>
          <t>2022</t>
        </is>
      </c>
      <c r="C105" s="4" t="inlineStr">
        <is>
          <t>2023</t>
        </is>
      </c>
      <c r="D105" s="4" t="inlineStr">
        <is>
          <t>2024</t>
        </is>
      </c>
      <c r="E105" s="4" t="inlineStr">
        <is>
          <t>2025</t>
        </is>
      </c>
    </row>
    <row r="106" ht="22" customHeight="1">
      <c r="A106" s="5" t="inlineStr">
        <is>
          <t>销售/毛利</t>
        </is>
      </c>
      <c r="B106" s="6" t="n"/>
      <c r="C106" s="6" t="n"/>
      <c r="D106" s="6" t="n"/>
      <c r="E106" s="6" t="n"/>
    </row>
    <row r="107" ht="22" customHeight="1">
      <c r="A107" s="5" t="inlineStr">
        <is>
          <t>管理/毛利</t>
        </is>
      </c>
      <c r="B107" s="6" t="n">
        <v>14.69</v>
      </c>
      <c r="C107" s="6" t="n">
        <v>14.74</v>
      </c>
      <c r="D107" s="6" t="n">
        <v>14.44</v>
      </c>
      <c r="E107" s="6" t="n">
        <v>14.14</v>
      </c>
    </row>
    <row r="108" ht="22" customHeight="1">
      <c r="A108" s="5" t="inlineStr">
        <is>
          <t>研发/毛利</t>
        </is>
      </c>
      <c r="B108" s="6" t="n">
        <v>15.37</v>
      </c>
      <c r="C108" s="6" t="n">
        <v>17.69</v>
      </c>
      <c r="D108" s="6" t="n">
        <v>17.36</v>
      </c>
      <c r="E108" s="6" t="n">
        <v>17.7</v>
      </c>
    </row>
    <row r="109" ht="22" customHeight="1">
      <c r="A109" s="5" t="inlineStr">
        <is>
          <t>财务/毛利</t>
        </is>
      </c>
      <c r="B109" s="6" t="n"/>
      <c r="C109" s="6" t="n"/>
      <c r="D109" s="6" t="n"/>
      <c r="E109" s="6" t="n"/>
    </row>
    <row r="110" ht="8" customHeight="1"/>
    <row r="130" ht="8" customHeight="1"/>
    <row r="131" ht="26" customHeight="1">
      <c r="A131" s="3" t="inlineStr">
        <is>
          <t>5. 四费占毛利堆叠(%)</t>
        </is>
      </c>
    </row>
    <row r="132" ht="36" customHeight="1">
      <c r="A132" s="4" t="inlineStr">
        <is>
          <t>占毛利 (%)</t>
        </is>
      </c>
      <c r="B132" s="4" t="inlineStr">
        <is>
          <t>2022</t>
        </is>
      </c>
      <c r="C132" s="4" t="inlineStr">
        <is>
          <t>2023</t>
        </is>
      </c>
      <c r="D132" s="4" t="inlineStr">
        <is>
          <t>2024</t>
        </is>
      </c>
      <c r="E132" s="4" t="inlineStr">
        <is>
          <t>2025</t>
        </is>
      </c>
    </row>
    <row r="133" ht="22" customHeight="1">
      <c r="A133" s="5" t="inlineStr">
        <is>
          <t>销售/毛利</t>
        </is>
      </c>
      <c r="B133" s="6" t="n"/>
      <c r="C133" s="6" t="n"/>
      <c r="D133" s="6" t="n"/>
      <c r="E133" s="6" t="n"/>
    </row>
    <row r="134" ht="22" customHeight="1">
      <c r="A134" s="5" t="inlineStr">
        <is>
          <t>管理/毛利</t>
        </is>
      </c>
      <c r="B134" s="6" t="n">
        <v>14.69</v>
      </c>
      <c r="C134" s="6" t="n">
        <v>14.74</v>
      </c>
      <c r="D134" s="6" t="n">
        <v>14.44</v>
      </c>
      <c r="E134" s="6" t="n">
        <v>14.14</v>
      </c>
    </row>
    <row r="135" ht="22" customHeight="1">
      <c r="A135" s="5" t="inlineStr">
        <is>
          <t>研发/毛利</t>
        </is>
      </c>
      <c r="B135" s="6" t="n">
        <v>15.37</v>
      </c>
      <c r="C135" s="6" t="n">
        <v>17.69</v>
      </c>
      <c r="D135" s="6" t="n">
        <v>17.36</v>
      </c>
      <c r="E135" s="6" t="n">
        <v>17.7</v>
      </c>
    </row>
    <row r="136" ht="22" customHeight="1">
      <c r="A136" s="5" t="inlineStr">
        <is>
          <t>财务/毛利</t>
        </is>
      </c>
      <c r="B136" s="6" t="n"/>
      <c r="C136" s="6" t="n"/>
      <c r="D136" s="6" t="n"/>
      <c r="E136" s="6" t="n"/>
    </row>
    <row r="137" ht="8" customHeight="1"/>
    <row r="157" ht="8" customHeight="1"/>
    <row r="158" ht="26" customHeight="1">
      <c r="A158" s="3" t="inlineStr">
        <is>
          <t>6. 数据质量(追溯重述记录)</t>
        </is>
      </c>
    </row>
    <row r="159" ht="22" customHeight="1">
      <c r="A159" s="7" t="inlineStr">
        <is>
          <t>未检测到重述</t>
        </is>
      </c>
    </row>
  </sheetData>
  <mergeCells count="10">
    <mergeCell ref="A131:E131"/>
    <mergeCell ref="A26:E26"/>
    <mergeCell ref="A2:E2"/>
    <mergeCell ref="A52:E52"/>
    <mergeCell ref="A104:E104"/>
    <mergeCell ref="A1:E1"/>
    <mergeCell ref="A159:E159"/>
    <mergeCell ref="A79:E79"/>
    <mergeCell ref="A158:E158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0" customHeight="1">
      <c r="A1" s="1" t="inlineStr">
        <is>
          <t>Apple Inc 2022-2025 业务分析(B 类)</t>
        </is>
      </c>
    </row>
    <row r="2" ht="22" customHeight="1">
      <c r="A2" s="2" t="inlineStr">
        <is>
          <t>数据源:2023.json, 2024.json, 2025.json    |    金额单位:百万美元    |    比率单位:%</t>
        </is>
      </c>
    </row>
    <row r="3" ht="8" customHeight="1"/>
    <row r="4" ht="26" customHeight="1">
      <c r="A4" s="3" t="inlineStr">
        <is>
          <t>1. 分业务线收入(百万美元) + 毛利率(%)</t>
        </is>
      </c>
    </row>
    <row r="5" ht="36" customHeight="1">
      <c r="A5" s="4" t="inlineStr">
        <is>
          <t>业务线(百万美元)</t>
        </is>
      </c>
      <c r="B5" s="4" t="inlineStr">
        <is>
          <t>2022</t>
        </is>
      </c>
      <c r="C5" s="4" t="inlineStr">
        <is>
          <t>2023</t>
        </is>
      </c>
      <c r="D5" s="4" t="inlineStr">
        <is>
          <t>2024</t>
        </is>
      </c>
      <c r="E5" s="4" t="inlineStr">
        <is>
          <t>2025</t>
        </is>
      </c>
    </row>
    <row r="6" ht="22" customHeight="1">
      <c r="A6" s="5" t="inlineStr">
        <is>
          <t>iPhone</t>
        </is>
      </c>
      <c r="B6" s="6" t="n">
        <v>205489</v>
      </c>
      <c r="C6" s="6" t="n">
        <v>200583</v>
      </c>
      <c r="D6" s="6" t="n">
        <v>201183</v>
      </c>
      <c r="E6" s="6" t="n">
        <v>209586</v>
      </c>
    </row>
    <row r="7" ht="22" customHeight="1">
      <c r="A7" s="5" t="inlineStr">
        <is>
          <t>Mac</t>
        </is>
      </c>
      <c r="B7" s="6" t="n">
        <v>40177</v>
      </c>
      <c r="C7" s="6" t="n">
        <v>29357</v>
      </c>
      <c r="D7" s="6" t="n">
        <v>29984</v>
      </c>
      <c r="E7" s="6" t="n">
        <v>33708</v>
      </c>
    </row>
    <row r="8" ht="22" customHeight="1">
      <c r="A8" s="5" t="inlineStr">
        <is>
          <t>iPad</t>
        </is>
      </c>
      <c r="B8" s="6" t="n">
        <v>29292</v>
      </c>
      <c r="C8" s="6" t="n">
        <v>28300</v>
      </c>
      <c r="D8" s="6" t="n">
        <v>26694</v>
      </c>
      <c r="E8" s="6" t="n">
        <v>28023</v>
      </c>
    </row>
    <row r="9" ht="22" customHeight="1">
      <c r="A9" s="5" t="inlineStr">
        <is>
          <t>Wearables, Home and Accessories</t>
        </is>
      </c>
      <c r="B9" s="6" t="n">
        <v>41241</v>
      </c>
      <c r="C9" s="6" t="n">
        <v>39845</v>
      </c>
      <c r="D9" s="6" t="n">
        <v>37005</v>
      </c>
      <c r="E9" s="6" t="n">
        <v>35686</v>
      </c>
    </row>
    <row r="10" ht="22" customHeight="1">
      <c r="A10" s="5" t="inlineStr">
        <is>
          <t>Services</t>
        </is>
      </c>
      <c r="B10" s="6" t="n">
        <v>78129</v>
      </c>
      <c r="C10" s="6" t="n">
        <v>85200</v>
      </c>
      <c r="D10" s="6" t="n">
        <v>96169</v>
      </c>
      <c r="E10" s="6" t="n">
        <v>109158</v>
      </c>
    </row>
    <row r="11" ht="8" customHeight="1"/>
    <row r="12" ht="36" customHeight="1">
      <c r="A12" s="4" t="inlineStr">
        <is>
          <t>占比(%)</t>
        </is>
      </c>
      <c r="B12" s="4" t="inlineStr">
        <is>
          <t>2022</t>
        </is>
      </c>
      <c r="C12" s="4" t="inlineStr">
        <is>
          <t>2023</t>
        </is>
      </c>
      <c r="D12" s="4" t="inlineStr">
        <is>
          <t>2024</t>
        </is>
      </c>
      <c r="E12" s="4" t="inlineStr">
        <is>
          <t>2025</t>
        </is>
      </c>
    </row>
    <row r="13" ht="22" customHeight="1">
      <c r="A13" s="5" t="inlineStr">
        <is>
          <t>iPhone</t>
        </is>
      </c>
      <c r="B13" s="6" t="n">
        <v>52.1</v>
      </c>
      <c r="C13" s="6" t="n">
        <v>52.3</v>
      </c>
      <c r="D13" s="6" t="n">
        <v>51.4</v>
      </c>
      <c r="E13" s="6" t="n">
        <v>50.4</v>
      </c>
    </row>
    <row r="14" ht="22" customHeight="1">
      <c r="A14" s="5" t="inlineStr">
        <is>
          <t>Mac</t>
        </is>
      </c>
      <c r="B14" s="6" t="n">
        <v>10.2</v>
      </c>
      <c r="C14" s="6" t="n">
        <v>7.7</v>
      </c>
      <c r="D14" s="6" t="n">
        <v>7.7</v>
      </c>
      <c r="E14" s="6" t="n">
        <v>8.1</v>
      </c>
    </row>
    <row r="15" ht="22" customHeight="1">
      <c r="A15" s="5" t="inlineStr">
        <is>
          <t>iPad</t>
        </is>
      </c>
      <c r="B15" s="6" t="n">
        <v>7.4</v>
      </c>
      <c r="C15" s="6" t="n">
        <v>7.4</v>
      </c>
      <c r="D15" s="6" t="n">
        <v>6.8</v>
      </c>
      <c r="E15" s="6" t="n">
        <v>6.7</v>
      </c>
    </row>
    <row r="16" ht="22" customHeight="1">
      <c r="A16" s="5" t="inlineStr">
        <is>
          <t>Wearables, Home and Accessories</t>
        </is>
      </c>
      <c r="B16" s="6" t="n">
        <v>10.5</v>
      </c>
      <c r="C16" s="6" t="n">
        <v>10.4</v>
      </c>
      <c r="D16" s="6" t="n">
        <v>9.5</v>
      </c>
      <c r="E16" s="6" t="n">
        <v>8.6</v>
      </c>
    </row>
    <row r="17" ht="22" customHeight="1">
      <c r="A17" s="5" t="inlineStr">
        <is>
          <t>Services</t>
        </is>
      </c>
      <c r="B17" s="6" t="n">
        <v>19.8</v>
      </c>
      <c r="C17" s="6" t="n">
        <v>22.2</v>
      </c>
      <c r="D17" s="6" t="n">
        <v>24.6</v>
      </c>
      <c r="E17" s="6" t="n">
        <v>26.2</v>
      </c>
    </row>
    <row r="18" ht="8" customHeight="1"/>
    <row r="37" ht="8" customHeight="1"/>
    <row r="38" ht="36" customHeight="1">
      <c r="A38" s="4" t="inlineStr">
        <is>
          <t>毛利率(%)</t>
        </is>
      </c>
      <c r="B38" s="4" t="inlineStr">
        <is>
          <t>2022</t>
        </is>
      </c>
      <c r="C38" s="4" t="inlineStr">
        <is>
          <t>2023</t>
        </is>
      </c>
      <c r="D38" s="4" t="inlineStr">
        <is>
          <t>2024</t>
        </is>
      </c>
      <c r="E38" s="4" t="inlineStr">
        <is>
          <t>2025</t>
        </is>
      </c>
    </row>
    <row r="39" ht="22" customHeight="1">
      <c r="A39" s="5" t="inlineStr">
        <is>
          <t>Services</t>
        </is>
      </c>
      <c r="B39" s="6" t="n">
        <v>71.7</v>
      </c>
      <c r="C39" s="6" t="n">
        <v>70.8</v>
      </c>
      <c r="D39" s="6" t="n">
        <v>73.90000000000001</v>
      </c>
      <c r="E39" s="6" t="n">
        <v>75.40000000000001</v>
      </c>
    </row>
    <row r="40" ht="8" customHeight="1"/>
    <row r="60" ht="8" customHeight="1"/>
    <row r="61" ht="26" customHeight="1">
      <c r="A61" s="3" t="inlineStr">
        <is>
          <t>2. 分地区收入(百万美元)</t>
        </is>
      </c>
    </row>
    <row r="62" ht="36" customHeight="1">
      <c r="A62" s="4" t="inlineStr">
        <is>
          <t>地区(百万美元)</t>
        </is>
      </c>
      <c r="B62" s="4" t="inlineStr">
        <is>
          <t>2022</t>
        </is>
      </c>
      <c r="C62" s="4" t="inlineStr">
        <is>
          <t>2023</t>
        </is>
      </c>
      <c r="D62" s="4" t="inlineStr">
        <is>
          <t>2024</t>
        </is>
      </c>
      <c r="E62" s="4" t="inlineStr">
        <is>
          <t>2025</t>
        </is>
      </c>
    </row>
    <row r="63" ht="22" customHeight="1">
      <c r="A63" s="5" t="inlineStr">
        <is>
          <t>Americas</t>
        </is>
      </c>
      <c r="B63" s="6" t="n">
        <v>169658</v>
      </c>
      <c r="C63" s="6" t="n">
        <v>162560</v>
      </c>
      <c r="D63" s="6" t="n">
        <v>167045</v>
      </c>
      <c r="E63" s="6" t="n">
        <v>178353</v>
      </c>
    </row>
    <row r="64" ht="22" customHeight="1">
      <c r="A64" s="5" t="inlineStr">
        <is>
          <t>Europe</t>
        </is>
      </c>
      <c r="B64" s="6" t="n">
        <v>95118</v>
      </c>
      <c r="C64" s="6" t="n">
        <v>94294</v>
      </c>
      <c r="D64" s="6" t="n">
        <v>101328</v>
      </c>
      <c r="E64" s="6" t="n">
        <v>111032</v>
      </c>
    </row>
    <row r="65" ht="22" customHeight="1">
      <c r="A65" s="5" t="inlineStr">
        <is>
          <t>Greater China</t>
        </is>
      </c>
      <c r="B65" s="6" t="n">
        <v>74200</v>
      </c>
      <c r="C65" s="6" t="n">
        <v>72559</v>
      </c>
      <c r="D65" s="6" t="n">
        <v>66952</v>
      </c>
      <c r="E65" s="6" t="n">
        <v>64377</v>
      </c>
    </row>
    <row r="66" ht="22" customHeight="1">
      <c r="A66" s="5" t="inlineStr">
        <is>
          <t>Japan</t>
        </is>
      </c>
      <c r="B66" s="6" t="n">
        <v>25977</v>
      </c>
      <c r="C66" s="6" t="n">
        <v>24257</v>
      </c>
      <c r="D66" s="6" t="n">
        <v>25052</v>
      </c>
      <c r="E66" s="6" t="n">
        <v>28703</v>
      </c>
    </row>
    <row r="67" ht="22" customHeight="1">
      <c r="A67" s="5" t="inlineStr">
        <is>
          <t>Rest of Asia Pacific</t>
        </is>
      </c>
      <c r="B67" s="6" t="n">
        <v>29375</v>
      </c>
      <c r="C67" s="6" t="n">
        <v>29615</v>
      </c>
      <c r="D67" s="6" t="n">
        <v>30658</v>
      </c>
      <c r="E67" s="6" t="n">
        <v>33696</v>
      </c>
    </row>
    <row r="68" ht="8" customHeight="1"/>
    <row r="88" ht="8" customHeight="1"/>
    <row r="89" ht="26" customHeight="1">
      <c r="A89" s="3" t="inlineStr">
        <is>
          <t>3. 前五大客户/供应商集中度(%)</t>
        </is>
      </c>
    </row>
    <row r="90" ht="36" customHeight="1">
      <c r="A90" s="4" t="inlineStr">
        <is>
          <t>年份</t>
        </is>
      </c>
      <c r="B90" s="4" t="inlineStr">
        <is>
          <t>2022</t>
        </is>
      </c>
      <c r="C90" s="4" t="inlineStr">
        <is>
          <t>2023</t>
        </is>
      </c>
      <c r="D90" s="4" t="inlineStr">
        <is>
          <t>2024</t>
        </is>
      </c>
      <c r="E90" s="4" t="inlineStr">
        <is>
          <t>2025</t>
        </is>
      </c>
    </row>
    <row r="91" ht="22" customHeight="1">
      <c r="A91" s="5" t="inlineStr">
        <is>
          <t>前五大客户占比(%)</t>
        </is>
      </c>
      <c r="B91" s="6" t="n"/>
      <c r="C91" s="6" t="n"/>
      <c r="D91" s="6" t="n"/>
      <c r="E91" s="6" t="n"/>
    </row>
    <row r="92" ht="22" customHeight="1">
      <c r="A92" s="5" t="inlineStr">
        <is>
          <t>前五大供应商占比(%)</t>
        </is>
      </c>
      <c r="B92" s="6" t="n"/>
      <c r="C92" s="6" t="n"/>
      <c r="D92" s="6" t="n"/>
      <c r="E92" s="6" t="n"/>
    </row>
    <row r="93" ht="8" customHeight="1"/>
    <row r="112" ht="8" customHeight="1"/>
    <row r="113" ht="36" customHeight="1">
      <c r="A113" s="4" t="inlineStr">
        <is>
          <t>类别</t>
        </is>
      </c>
      <c r="B113" s="4" t="inlineStr">
        <is>
          <t>2025年客户</t>
        </is>
      </c>
      <c r="C113" s="4" t="inlineStr">
        <is>
          <t>2025年供应商</t>
        </is>
      </c>
    </row>
    <row r="114" ht="22" customHeight="1">
      <c r="A114" s="5" t="inlineStr">
        <is>
          <t>前五大</t>
        </is>
      </c>
      <c r="B114" s="6" t="n">
        <v>0</v>
      </c>
      <c r="C114" s="6" t="n">
        <v>0</v>
      </c>
    </row>
    <row r="115" ht="22" customHeight="1">
      <c r="A115" s="5" t="inlineStr">
        <is>
          <t>其他</t>
        </is>
      </c>
      <c r="B115" s="6" t="n">
        <v>100</v>
      </c>
      <c r="C115" s="6" t="n">
        <v>100</v>
      </c>
    </row>
    <row r="136" ht="8" customHeight="1"/>
    <row r="137" ht="26" customHeight="1">
      <c r="A137" s="3" t="inlineStr">
        <is>
          <t>4. 员工规模与结构</t>
        </is>
      </c>
    </row>
    <row r="138" ht="36" customHeight="1">
      <c r="A138" s="4" t="inlineStr">
        <is>
          <t>指标</t>
        </is>
      </c>
      <c r="B138" s="4" t="inlineStr">
        <is>
          <t>2022</t>
        </is>
      </c>
      <c r="C138" s="4" t="inlineStr">
        <is>
          <t>2023</t>
        </is>
      </c>
      <c r="D138" s="4" t="inlineStr">
        <is>
          <t>2024</t>
        </is>
      </c>
      <c r="E138" s="4" t="inlineStr">
        <is>
          <t>2025</t>
        </is>
      </c>
    </row>
    <row r="139" ht="22" customHeight="1">
      <c r="A139" s="5" t="inlineStr">
        <is>
          <t>员工总数(万人)</t>
        </is>
      </c>
      <c r="B139" s="6" t="n"/>
      <c r="C139" s="6" t="n">
        <v>16.1</v>
      </c>
      <c r="D139" s="6" t="n">
        <v>16.4</v>
      </c>
      <c r="E139" s="6" t="n">
        <v>16.6</v>
      </c>
    </row>
    <row r="140" ht="22" customHeight="1">
      <c r="A140" s="5" t="inlineStr">
        <is>
          <t>技术/研发人员(万人)</t>
        </is>
      </c>
      <c r="B140" s="6" t="n"/>
      <c r="C140" s="6" t="n"/>
      <c r="D140" s="6" t="n"/>
      <c r="E140" s="6" t="n"/>
    </row>
    <row r="141" ht="22" customHeight="1">
      <c r="A141" s="5" t="inlineStr">
        <is>
          <t>技术/研发占比(%)</t>
        </is>
      </c>
      <c r="B141" s="6" t="n"/>
      <c r="C141" s="6" t="n"/>
      <c r="D141" s="6" t="n"/>
      <c r="E141" s="6" t="n"/>
    </row>
    <row r="142" ht="22" customHeight="1">
      <c r="A142" s="5" t="inlineStr">
        <is>
          <t>当年净增(万人)</t>
        </is>
      </c>
      <c r="B142" s="6" t="n"/>
      <c r="C142" s="6" t="n"/>
      <c r="D142" s="6" t="n">
        <v>0.3</v>
      </c>
      <c r="E142" s="6" t="n">
        <v>0.2</v>
      </c>
    </row>
    <row r="143" ht="8" customHeight="1"/>
    <row r="162" ht="8" customHeight="1"/>
    <row r="163" ht="36" customHeight="1">
      <c r="A163" s="4" t="inlineStr">
        <is>
          <t>2025年专业构成</t>
        </is>
      </c>
      <c r="B163" s="4" t="inlineStr">
        <is>
          <t>人数(人)</t>
        </is>
      </c>
      <c r="C163" s="4" t="inlineStr">
        <is>
          <t>占比(%)</t>
        </is>
      </c>
    </row>
  </sheetData>
  <mergeCells count="6">
    <mergeCell ref="A4:E4"/>
    <mergeCell ref="A2:E2"/>
    <mergeCell ref="A137:E137"/>
    <mergeCell ref="A1:E1"/>
    <mergeCell ref="A89:E89"/>
    <mergeCell ref="A61:E6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0" customHeight="1">
      <c r="A1" s="1" t="inlineStr">
        <is>
          <t>Apple Inc 2022-2025 现金流(C 类)</t>
        </is>
      </c>
    </row>
    <row r="2" ht="22" customHeight="1">
      <c r="A2" s="2" t="inlineStr">
        <is>
          <t>数据源:2023.json, 2024.json, 2025.json    |    金额单位:百万美元    |    比率/分红率:%    |    OCF/净利:倍数</t>
        </is>
      </c>
    </row>
    <row r="3" ht="8" customHeight="1"/>
    <row r="4" ht="26" customHeight="1">
      <c r="A4" s="3" t="inlineStr">
        <is>
          <t>1. 三类现金流(经营 / 投资 / 筹资,百万美元)</t>
        </is>
      </c>
    </row>
    <row r="5" ht="36" customHeight="1">
      <c r="A5" s="4" t="inlineStr">
        <is>
          <t>现金流类别(百万美元)</t>
        </is>
      </c>
      <c r="B5" s="4" t="inlineStr">
        <is>
          <t>2022</t>
        </is>
      </c>
      <c r="C5" s="4" t="inlineStr">
        <is>
          <t>2023</t>
        </is>
      </c>
      <c r="D5" s="4" t="inlineStr">
        <is>
          <t>2024</t>
        </is>
      </c>
      <c r="E5" s="4" t="inlineStr">
        <is>
          <t>2025</t>
        </is>
      </c>
    </row>
    <row r="6" ht="22" customHeight="1">
      <c r="A6" s="5" t="inlineStr">
        <is>
          <t>经营活动现金流净额</t>
        </is>
      </c>
      <c r="B6" s="6" t="n">
        <v>122151</v>
      </c>
      <c r="C6" s="6" t="n">
        <v>110543</v>
      </c>
      <c r="D6" s="6" t="n">
        <v>118254</v>
      </c>
      <c r="E6" s="6" t="n">
        <v>111482</v>
      </c>
    </row>
    <row r="7" ht="22" customHeight="1">
      <c r="A7" s="5" t="inlineStr">
        <is>
          <t>投资活动现金流净额</t>
        </is>
      </c>
      <c r="B7" s="6" t="n">
        <v>-22354</v>
      </c>
      <c r="C7" s="6" t="n">
        <v>3705</v>
      </c>
      <c r="D7" s="6" t="n">
        <v>2935</v>
      </c>
      <c r="E7" s="6" t="n">
        <v>15195</v>
      </c>
    </row>
    <row r="8" ht="22" customHeight="1">
      <c r="A8" s="5" t="inlineStr">
        <is>
          <t>筹资活动现金流净额</t>
        </is>
      </c>
      <c r="B8" s="6" t="n">
        <v>-110749</v>
      </c>
      <c r="C8" s="6" t="n">
        <v>-108488</v>
      </c>
      <c r="D8" s="6" t="n">
        <v>-121983</v>
      </c>
      <c r="E8" s="6" t="n">
        <v>-120686</v>
      </c>
    </row>
    <row r="9" ht="8" customHeight="1"/>
    <row r="29" ht="8" customHeight="1"/>
    <row r="30" ht="26" customHeight="1">
      <c r="A30" s="3" t="inlineStr">
        <is>
          <t>2. 经营现金流 vs 净利润(盈利质量校验)</t>
        </is>
      </c>
    </row>
    <row r="31" ht="36" customHeight="1">
      <c r="A31" s="4" t="inlineStr">
        <is>
          <t>指标</t>
        </is>
      </c>
      <c r="B31" s="4" t="inlineStr">
        <is>
          <t>2022</t>
        </is>
      </c>
      <c r="C31" s="4" t="inlineStr">
        <is>
          <t>2023</t>
        </is>
      </c>
      <c r="D31" s="4" t="inlineStr">
        <is>
          <t>2024</t>
        </is>
      </c>
      <c r="E31" s="4" t="inlineStr">
        <is>
          <t>2025</t>
        </is>
      </c>
    </row>
    <row r="32" ht="22" customHeight="1">
      <c r="A32" s="5" t="inlineStr">
        <is>
          <t>经营活动现金流净额(百万美元)</t>
        </is>
      </c>
      <c r="B32" s="6" t="n">
        <v>122151</v>
      </c>
      <c r="C32" s="6" t="n">
        <v>110543</v>
      </c>
      <c r="D32" s="6" t="n">
        <v>118254</v>
      </c>
      <c r="E32" s="6" t="n">
        <v>111482</v>
      </c>
    </row>
    <row r="33" ht="22" customHeight="1">
      <c r="A33" s="5" t="inlineStr">
        <is>
          <t>净利润(百万美元)</t>
        </is>
      </c>
      <c r="B33" s="6" t="n">
        <v>99803</v>
      </c>
      <c r="C33" s="6" t="n">
        <v>96995</v>
      </c>
      <c r="D33" s="6" t="n">
        <v>93736</v>
      </c>
      <c r="E33" s="6" t="n">
        <v>112010</v>
      </c>
    </row>
    <row r="34" ht="22" customHeight="1">
      <c r="A34" s="5" t="inlineStr">
        <is>
          <t>OCF / 净利润 (倍数)</t>
        </is>
      </c>
      <c r="B34" s="6" t="n">
        <v>1.22</v>
      </c>
      <c r="C34" s="6" t="n">
        <v>1.14</v>
      </c>
      <c r="D34" s="6" t="n">
        <v>1.26</v>
      </c>
      <c r="E34" s="6" t="n">
        <v>1</v>
      </c>
    </row>
    <row r="35" ht="8" customHeight="1"/>
    <row r="55" ht="8" customHeight="1"/>
    <row r="56" ht="26" customHeight="1">
      <c r="A56" s="3" t="inlineStr">
        <is>
          <t>3. 资本开支 Capex(投入强度)</t>
        </is>
      </c>
    </row>
    <row r="57" ht="36" customHeight="1">
      <c r="A57" s="4" t="inlineStr">
        <is>
          <t>指标</t>
        </is>
      </c>
      <c r="B57" s="4" t="inlineStr">
        <is>
          <t>2022</t>
        </is>
      </c>
      <c r="C57" s="4" t="inlineStr">
        <is>
          <t>2023</t>
        </is>
      </c>
      <c r="D57" s="4" t="inlineStr">
        <is>
          <t>2024</t>
        </is>
      </c>
      <c r="E57" s="4" t="inlineStr">
        <is>
          <t>2025</t>
        </is>
      </c>
    </row>
    <row r="58" ht="22" customHeight="1">
      <c r="A58" s="5" t="inlineStr">
        <is>
          <t>Capex(百万美元)</t>
        </is>
      </c>
      <c r="B58" s="6" t="n">
        <v>10708</v>
      </c>
      <c r="C58" s="6" t="n">
        <v>10959</v>
      </c>
      <c r="D58" s="6" t="n">
        <v>9447</v>
      </c>
      <c r="E58" s="6" t="n">
        <v>12715</v>
      </c>
    </row>
    <row r="59" ht="22" customHeight="1">
      <c r="A59" s="5" t="inlineStr">
        <is>
          <t>Capex / 营收 (%)</t>
        </is>
      </c>
      <c r="B59" s="6" t="n">
        <v>2.72</v>
      </c>
      <c r="C59" s="6" t="n">
        <v>2.86</v>
      </c>
      <c r="D59" s="6" t="n">
        <v>2.42</v>
      </c>
      <c r="E59" s="6" t="n">
        <v>3.06</v>
      </c>
    </row>
    <row r="60" ht="8" customHeight="1"/>
    <row r="80" ht="8" customHeight="1"/>
    <row r="81" ht="26" customHeight="1">
      <c r="A81" s="3" t="inlineStr">
        <is>
          <t>4. 自由现金流 FCF = OCF − Capex(真实可分配现金)</t>
        </is>
      </c>
    </row>
    <row r="82" ht="36" customHeight="1">
      <c r="A82" s="4" t="inlineStr">
        <is>
          <t>指标</t>
        </is>
      </c>
      <c r="B82" s="4" t="inlineStr">
        <is>
          <t>2022</t>
        </is>
      </c>
      <c r="C82" s="4" t="inlineStr">
        <is>
          <t>2023</t>
        </is>
      </c>
      <c r="D82" s="4" t="inlineStr">
        <is>
          <t>2024</t>
        </is>
      </c>
      <c r="E82" s="4" t="inlineStr">
        <is>
          <t>2025</t>
        </is>
      </c>
    </row>
    <row r="83" ht="22" customHeight="1">
      <c r="A83" s="5" t="inlineStr">
        <is>
          <t>FCF(百万美元)</t>
        </is>
      </c>
      <c r="B83" s="6" t="n">
        <v>111443</v>
      </c>
      <c r="C83" s="6" t="n">
        <v>99584</v>
      </c>
      <c r="D83" s="6" t="n">
        <v>108807</v>
      </c>
      <c r="E83" s="6" t="n">
        <v>98767</v>
      </c>
    </row>
    <row r="84" ht="22" customHeight="1">
      <c r="A84" s="5" t="inlineStr">
        <is>
          <t>FCF / 营收 (%)</t>
        </is>
      </c>
      <c r="B84" s="6" t="n">
        <v>28.26</v>
      </c>
      <c r="C84" s="6" t="n">
        <v>25.98</v>
      </c>
      <c r="D84" s="6" t="n">
        <v>27.83</v>
      </c>
      <c r="E84" s="6" t="n">
        <v>23.73</v>
      </c>
    </row>
    <row r="85" ht="8" customHeight="1"/>
    <row r="105" ht="8" customHeight="1"/>
    <row r="106" ht="26" customHeight="1">
      <c r="A106" s="3" t="inlineStr">
        <is>
          <t>5. 股东回报(现金分红+利息支付 / 股份回购)</t>
        </is>
      </c>
    </row>
    <row r="107" ht="36" customHeight="1">
      <c r="A107" s="4" t="inlineStr">
        <is>
          <t>项目(百万美元)</t>
        </is>
      </c>
      <c r="B107" s="4" t="inlineStr">
        <is>
          <t>2022</t>
        </is>
      </c>
      <c r="C107" s="4" t="inlineStr">
        <is>
          <t>2023</t>
        </is>
      </c>
      <c r="D107" s="4" t="inlineStr">
        <is>
          <t>2024</t>
        </is>
      </c>
      <c r="E107" s="4" t="inlineStr">
        <is>
          <t>2025</t>
        </is>
      </c>
    </row>
    <row r="108" ht="22" customHeight="1">
      <c r="A108" s="5" t="inlineStr">
        <is>
          <t>分配股利、利息支付现金</t>
        </is>
      </c>
      <c r="B108" s="6" t="n">
        <v>14841</v>
      </c>
      <c r="C108" s="6" t="n">
        <v>15025</v>
      </c>
      <c r="D108" s="6" t="n">
        <v>15234</v>
      </c>
      <c r="E108" s="6" t="n">
        <v>15421</v>
      </c>
    </row>
    <row r="109" ht="22" customHeight="1">
      <c r="A109" s="5" t="inlineStr">
        <is>
          <t>股份回购支付现金</t>
        </is>
      </c>
      <c r="B109" s="6" t="n">
        <v>89402</v>
      </c>
      <c r="C109" s="6" t="n">
        <v>77550</v>
      </c>
      <c r="D109" s="6" t="n">
        <v>94949</v>
      </c>
      <c r="E109" s="6" t="n">
        <v>90711</v>
      </c>
    </row>
    <row r="110" ht="22" customHeight="1">
      <c r="A110" s="5" t="inlineStr">
        <is>
          <t>分红率 = 分红+利息 / 净利 (%)</t>
        </is>
      </c>
      <c r="B110" s="6" t="n">
        <v>14.87</v>
      </c>
      <c r="C110" s="6" t="n">
        <v>15.49</v>
      </c>
      <c r="D110" s="6" t="n">
        <v>16.25</v>
      </c>
      <c r="E110" s="6" t="n">
        <v>13.77</v>
      </c>
    </row>
    <row r="111" ht="8" customHeight="1"/>
    <row r="131" ht="8" customHeight="1"/>
    <row r="132" ht="26" customHeight="1">
      <c r="A132" s="3" t="inlineStr">
        <is>
          <t>6. 现金储备(期末余额 + 当年净增减)</t>
        </is>
      </c>
    </row>
    <row r="133" ht="36" customHeight="1">
      <c r="A133" s="4" t="inlineStr">
        <is>
          <t>指标(百万美元)</t>
        </is>
      </c>
      <c r="B133" s="4" t="inlineStr">
        <is>
          <t>2022</t>
        </is>
      </c>
      <c r="C133" s="4" t="inlineStr">
        <is>
          <t>2023</t>
        </is>
      </c>
      <c r="D133" s="4" t="inlineStr">
        <is>
          <t>2024</t>
        </is>
      </c>
      <c r="E133" s="4" t="inlineStr">
        <is>
          <t>2025</t>
        </is>
      </c>
    </row>
    <row r="134" ht="22" customHeight="1">
      <c r="A134" s="5" t="inlineStr">
        <is>
          <t>期末现金及等价物余额</t>
        </is>
      </c>
      <c r="B134" s="6" t="n"/>
      <c r="C134" s="6" t="n"/>
      <c r="D134" s="6" t="n"/>
      <c r="E134" s="6" t="n"/>
    </row>
    <row r="135" ht="22" customHeight="1">
      <c r="A135" s="5" t="inlineStr">
        <is>
          <t>当年现金净增加额</t>
        </is>
      </c>
      <c r="B135" s="6" t="n">
        <v>-10952</v>
      </c>
      <c r="C135" s="6" t="n">
        <v>5760</v>
      </c>
      <c r="D135" s="6" t="n">
        <v>-794</v>
      </c>
      <c r="E135" s="6" t="n">
        <v>5991</v>
      </c>
    </row>
    <row r="136" ht="8" customHeight="1"/>
  </sheetData>
  <mergeCells count="8">
    <mergeCell ref="A30:E30"/>
    <mergeCell ref="A4:E4"/>
    <mergeCell ref="A81:E81"/>
    <mergeCell ref="A2:E2"/>
    <mergeCell ref="A1:E1"/>
    <mergeCell ref="A132:E132"/>
    <mergeCell ref="A56:E56"/>
    <mergeCell ref="A106:E10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Apple Inc 2022-2025年末 资产负债表(D 类)</t>
        </is>
      </c>
      <c r="J1" s="8" t="inlineStr">
        <is>
          <t>原始数据(全精度,单位:million)</t>
        </is>
      </c>
    </row>
    <row r="2" ht="36" customHeight="1">
      <c r="A2" s="2" t="inlineStr">
        <is>
          <t>数据源:2023.json, 2024.json, 2025.json    |    金额单位:百万美元    |    比率:%    |    周转:天</t>
        </is>
      </c>
      <c r="J2" s="4" t="inlineStr">
        <is>
          <t>科目</t>
        </is>
      </c>
      <c r="K2" s="4" t="inlineStr">
        <is>
          <t>2022年末</t>
        </is>
      </c>
      <c r="L2" s="4" t="inlineStr">
        <is>
          <t>2023年末</t>
        </is>
      </c>
      <c r="M2" s="4" t="inlineStr">
        <is>
          <t>2024年末</t>
        </is>
      </c>
      <c r="N2" s="4" t="inlineStr">
        <is>
          <t>2025年末</t>
        </is>
      </c>
    </row>
    <row r="3" ht="22" customHeight="1">
      <c r="J3" s="5" t="inlineStr">
        <is>
          <t>货币资金</t>
        </is>
      </c>
      <c r="K3" s="6" t="n">
        <v>23646</v>
      </c>
      <c r="L3" s="6" t="n">
        <v>29965</v>
      </c>
      <c r="M3" s="6" t="n">
        <v>29943</v>
      </c>
      <c r="N3" s="6" t="n">
        <v>35934</v>
      </c>
    </row>
    <row r="4" ht="22" customHeight="1">
      <c r="A4" s="3" t="inlineStr">
        <is>
          <t>1. 资产 / 负债 / 所有者权益(百万美元)</t>
        </is>
      </c>
      <c r="J4" s="5" t="inlineStr">
        <is>
          <t>应收账款</t>
        </is>
      </c>
      <c r="K4" s="6" t="n">
        <v>28184</v>
      </c>
      <c r="L4" s="6" t="n">
        <v>29508</v>
      </c>
      <c r="M4" s="6" t="n">
        <v>33410</v>
      </c>
      <c r="N4" s="6" t="n">
        <v>39777</v>
      </c>
    </row>
    <row r="5" ht="22" customHeight="1">
      <c r="A5" s="4" t="inlineStr">
        <is>
          <t>科目(百万美元)</t>
        </is>
      </c>
      <c r="B5" s="4" t="inlineStr">
        <is>
          <t>2022末</t>
        </is>
      </c>
      <c r="C5" s="4" t="inlineStr">
        <is>
          <t>2023末</t>
        </is>
      </c>
      <c r="D5" s="4" t="inlineStr">
        <is>
          <t>2024末</t>
        </is>
      </c>
      <c r="E5" s="4" t="inlineStr">
        <is>
          <t>2025末</t>
        </is>
      </c>
      <c r="J5" s="5" t="inlineStr">
        <is>
          <t>存货</t>
        </is>
      </c>
      <c r="K5" s="6" t="n">
        <v>4946</v>
      </c>
      <c r="L5" s="6" t="n">
        <v>6331</v>
      </c>
      <c r="M5" s="6" t="n">
        <v>7286</v>
      </c>
      <c r="N5" s="6" t="n">
        <v>5718</v>
      </c>
    </row>
    <row r="6" ht="22" customHeight="1">
      <c r="A6" s="5" t="inlineStr">
        <is>
          <t>总资产</t>
        </is>
      </c>
      <c r="B6" s="6" t="n">
        <v>352755</v>
      </c>
      <c r="C6" s="6" t="n">
        <v>352583</v>
      </c>
      <c r="D6" s="6" t="n">
        <v>364980</v>
      </c>
      <c r="E6" s="6" t="n">
        <v>359241</v>
      </c>
      <c r="J6" s="5" t="inlineStr">
        <is>
          <t>流动资产合计</t>
        </is>
      </c>
      <c r="K6" s="6" t="n">
        <v>135405</v>
      </c>
      <c r="L6" s="6" t="n">
        <v>143566</v>
      </c>
      <c r="M6" s="6" t="n">
        <v>152987</v>
      </c>
      <c r="N6" s="6" t="n">
        <v>147957</v>
      </c>
    </row>
    <row r="7" ht="22" customHeight="1">
      <c r="A7" s="5" t="inlineStr">
        <is>
          <t>总负债</t>
        </is>
      </c>
      <c r="B7" s="6" t="n">
        <v>302083</v>
      </c>
      <c r="C7" s="6" t="n">
        <v>290437</v>
      </c>
      <c r="D7" s="6" t="n">
        <v>308030</v>
      </c>
      <c r="E7" s="6" t="n">
        <v>285508</v>
      </c>
      <c r="J7" s="5" t="inlineStr">
        <is>
          <t>固定资产</t>
        </is>
      </c>
      <c r="K7" s="6" t="n">
        <v>42117</v>
      </c>
      <c r="L7" s="6" t="n">
        <v>43715</v>
      </c>
      <c r="M7" s="6" t="n">
        <v>45680</v>
      </c>
      <c r="N7" s="6" t="n">
        <v>49834</v>
      </c>
    </row>
    <row r="8" ht="22" customHeight="1">
      <c r="A8" s="5" t="inlineStr">
        <is>
          <t>所有者权益(合计)</t>
        </is>
      </c>
      <c r="B8" s="6" t="n">
        <v>50672</v>
      </c>
      <c r="C8" s="6" t="n">
        <v>62146</v>
      </c>
      <c r="D8" s="6" t="n">
        <v>56950</v>
      </c>
      <c r="E8" s="6" t="n">
        <v>73733</v>
      </c>
      <c r="J8" s="5" t="inlineStr">
        <is>
          <t>商誉</t>
        </is>
      </c>
      <c r="K8" s="6" t="n">
        <v>0</v>
      </c>
      <c r="L8" s="6" t="n">
        <v>0</v>
      </c>
      <c r="M8" s="6" t="n">
        <v>0</v>
      </c>
      <c r="N8" s="6" t="n">
        <v>0</v>
      </c>
    </row>
    <row r="9" ht="22" customHeight="1">
      <c r="A9" s="5" t="inlineStr">
        <is>
          <t>资产负债率(%)</t>
        </is>
      </c>
      <c r="B9" s="6" t="n">
        <v>85.64</v>
      </c>
      <c r="C9" s="6" t="n">
        <v>82.37</v>
      </c>
      <c r="D9" s="6" t="n">
        <v>84.40000000000001</v>
      </c>
      <c r="E9" s="6" t="n">
        <v>79.48</v>
      </c>
      <c r="J9" s="5" t="inlineStr">
        <is>
          <t>资产总计</t>
        </is>
      </c>
      <c r="K9" s="6" t="n">
        <v>352755</v>
      </c>
      <c r="L9" s="6" t="n">
        <v>352583</v>
      </c>
      <c r="M9" s="6" t="n">
        <v>364980</v>
      </c>
      <c r="N9" s="6" t="n">
        <v>359241</v>
      </c>
    </row>
    <row r="10" ht="22" customHeight="1">
      <c r="J10" s="5" t="inlineStr">
        <is>
          <t>短期借款</t>
        </is>
      </c>
      <c r="K10" s="6" t="n">
        <v>21110</v>
      </c>
      <c r="L10" s="6" t="n">
        <v>15807</v>
      </c>
      <c r="M10" s="6" t="n">
        <v>20879</v>
      </c>
      <c r="N10" s="6" t="n">
        <v>20329</v>
      </c>
    </row>
    <row r="11" ht="22" customHeight="1">
      <c r="J11" s="5" t="inlineStr">
        <is>
          <t>长期借款</t>
        </is>
      </c>
      <c r="K11" s="6" t="n">
        <v>98959</v>
      </c>
      <c r="L11" s="6" t="n">
        <v>95281</v>
      </c>
      <c r="M11" s="6" t="n">
        <v>85750</v>
      </c>
      <c r="N11" s="6" t="n">
        <v>78328</v>
      </c>
    </row>
    <row r="12" ht="22" customHeight="1">
      <c r="J12" s="5" t="inlineStr">
        <is>
          <t>负债合计</t>
        </is>
      </c>
      <c r="K12" s="6" t="n">
        <v>302083</v>
      </c>
      <c r="L12" s="6" t="n">
        <v>290437</v>
      </c>
      <c r="M12" s="6" t="n">
        <v>308030</v>
      </c>
      <c r="N12" s="6" t="n">
        <v>285508</v>
      </c>
    </row>
    <row r="13" ht="22" customHeight="1">
      <c r="J13" s="5" t="inlineStr">
        <is>
          <t>归属于母公司股东权益</t>
        </is>
      </c>
      <c r="K13" s="6" t="n">
        <v>50672</v>
      </c>
      <c r="L13" s="6" t="n">
        <v>62146</v>
      </c>
      <c r="M13" s="6" t="n">
        <v>56950</v>
      </c>
      <c r="N13" s="6" t="n">
        <v>73733</v>
      </c>
    </row>
    <row r="14" ht="22" customHeight="1">
      <c r="J14" s="5" t="inlineStr">
        <is>
          <t>股东权益合计</t>
        </is>
      </c>
      <c r="K14" s="6" t="n">
        <v>50672</v>
      </c>
      <c r="L14" s="6" t="n">
        <v>62146</v>
      </c>
      <c r="M14" s="6" t="n">
        <v>56950</v>
      </c>
      <c r="N14" s="6" t="n">
        <v>73733</v>
      </c>
    </row>
    <row r="30" ht="8" customHeight="1"/>
    <row r="31" ht="26" customHeight="1">
      <c r="A31" s="3" t="inlineStr">
        <is>
          <t>2. 杠杆趋势(资产负债率 / 有息负债率,%)</t>
        </is>
      </c>
    </row>
    <row r="32" ht="36" customHeight="1">
      <c r="A32" s="4" t="inlineStr">
        <is>
          <t>比率(%)</t>
        </is>
      </c>
      <c r="B32" s="4" t="inlineStr">
        <is>
          <t>2022末</t>
        </is>
      </c>
      <c r="C32" s="4" t="inlineStr">
        <is>
          <t>2023末</t>
        </is>
      </c>
      <c r="D32" s="4" t="inlineStr">
        <is>
          <t>2024末</t>
        </is>
      </c>
      <c r="E32" s="4" t="inlineStr">
        <is>
          <t>2025末</t>
        </is>
      </c>
    </row>
    <row r="33" ht="22" customHeight="1">
      <c r="A33" s="5" t="inlineStr">
        <is>
          <t>资产负债率</t>
        </is>
      </c>
      <c r="B33" s="6" t="n">
        <v>85.64</v>
      </c>
      <c r="C33" s="6" t="n">
        <v>82.37</v>
      </c>
      <c r="D33" s="6" t="n">
        <v>84.40000000000001</v>
      </c>
      <c r="E33" s="6" t="n">
        <v>79.48</v>
      </c>
    </row>
    <row r="34" ht="22" customHeight="1">
      <c r="A34" s="5" t="inlineStr">
        <is>
          <t>有息负债率(有息负债/总资产)</t>
        </is>
      </c>
      <c r="B34" s="6" t="n">
        <v>34.04</v>
      </c>
      <c r="C34" s="6" t="n">
        <v>31.51</v>
      </c>
      <c r="D34" s="6" t="n">
        <v>29.22</v>
      </c>
      <c r="E34" s="6" t="n">
        <v>27.46</v>
      </c>
    </row>
    <row r="35" ht="8" customHeight="1"/>
    <row r="55" ht="8" customHeight="1"/>
    <row r="56" ht="26" customHeight="1">
      <c r="A56" s="3" t="inlineStr">
        <is>
          <t>3. 有息负债结构 + 净负债(百万美元)</t>
        </is>
      </c>
    </row>
    <row r="57" ht="36" customHeight="1">
      <c r="A57" s="4" t="inlineStr">
        <is>
          <t>项目(百万美元)</t>
        </is>
      </c>
      <c r="B57" s="4" t="inlineStr">
        <is>
          <t>2022末</t>
        </is>
      </c>
      <c r="C57" s="4" t="inlineStr">
        <is>
          <t>2023末</t>
        </is>
      </c>
      <c r="D57" s="4" t="inlineStr">
        <is>
          <t>2024末</t>
        </is>
      </c>
      <c r="E57" s="4" t="inlineStr">
        <is>
          <t>2025末</t>
        </is>
      </c>
    </row>
    <row r="58" ht="22" customHeight="1">
      <c r="A58" s="5" t="inlineStr">
        <is>
          <t>短期借款</t>
        </is>
      </c>
      <c r="B58" s="6" t="n">
        <v>21110</v>
      </c>
      <c r="C58" s="6" t="n">
        <v>15807</v>
      </c>
      <c r="D58" s="6" t="n">
        <v>20879</v>
      </c>
      <c r="E58" s="6" t="n">
        <v>20329</v>
      </c>
    </row>
    <row r="59" ht="22" customHeight="1">
      <c r="A59" s="5" t="inlineStr">
        <is>
          <t>一年内到期非流动负债</t>
        </is>
      </c>
      <c r="B59" s="6" t="n"/>
      <c r="C59" s="6" t="n"/>
      <c r="D59" s="6" t="n"/>
      <c r="E59" s="6" t="n"/>
    </row>
    <row r="60" ht="22" customHeight="1">
      <c r="A60" s="5" t="inlineStr">
        <is>
          <t>长期借款</t>
        </is>
      </c>
      <c r="B60" s="6" t="n">
        <v>98959</v>
      </c>
      <c r="C60" s="6" t="n">
        <v>95281</v>
      </c>
      <c r="D60" s="6" t="n">
        <v>85750</v>
      </c>
      <c r="E60" s="6" t="n">
        <v>78328</v>
      </c>
    </row>
    <row r="61" ht="22" customHeight="1">
      <c r="A61" s="5" t="inlineStr">
        <is>
          <t>应付债券</t>
        </is>
      </c>
      <c r="B61" s="6" t="n"/>
      <c r="C61" s="6" t="n"/>
      <c r="D61" s="6" t="n"/>
      <c r="E61" s="6" t="n"/>
    </row>
    <row r="62" ht="22" customHeight="1">
      <c r="A62" s="5" t="inlineStr">
        <is>
          <t>租赁负债</t>
        </is>
      </c>
      <c r="B62" s="6" t="n"/>
      <c r="C62" s="6" t="n"/>
      <c r="D62" s="6" t="n"/>
      <c r="E62" s="6" t="n"/>
    </row>
    <row r="63" ht="22" customHeight="1">
      <c r="A63" s="5" t="inlineStr">
        <is>
          <t>货币资金</t>
        </is>
      </c>
      <c r="B63" s="6" t="n">
        <v>23646</v>
      </c>
      <c r="C63" s="6" t="n">
        <v>29965</v>
      </c>
      <c r="D63" s="6" t="n">
        <v>29943</v>
      </c>
      <c r="E63" s="6" t="n">
        <v>35934</v>
      </c>
    </row>
    <row r="64" ht="22" customHeight="1">
      <c r="A64" s="5" t="inlineStr">
        <is>
          <t>有息负债合计</t>
        </is>
      </c>
      <c r="B64" s="6" t="n">
        <v>120069</v>
      </c>
      <c r="C64" s="6" t="n">
        <v>111088</v>
      </c>
      <c r="D64" s="6" t="n">
        <v>106629</v>
      </c>
      <c r="E64" s="6" t="n">
        <v>98657</v>
      </c>
    </row>
    <row r="65" ht="22" customHeight="1">
      <c r="A65" s="5" t="inlineStr">
        <is>
          <t>净有息负债(有息-货币)</t>
        </is>
      </c>
      <c r="B65" s="6" t="n">
        <v>96423</v>
      </c>
      <c r="C65" s="6" t="n">
        <v>81123</v>
      </c>
      <c r="D65" s="6" t="n">
        <v>76686</v>
      </c>
      <c r="E65" s="6" t="n">
        <v>62723</v>
      </c>
    </row>
    <row r="66" ht="8" customHeight="1"/>
    <row r="86" ht="8" customHeight="1"/>
    <row r="87" ht="26" customHeight="1">
      <c r="A87" s="3" t="inlineStr">
        <is>
          <t>4. 营运资本周转(周转天数 + 现金转换周期 CCC)</t>
        </is>
      </c>
    </row>
    <row r="88" ht="36" customHeight="1">
      <c r="A88" s="4" t="inlineStr">
        <is>
          <t>周转天数(天)</t>
        </is>
      </c>
      <c r="B88" s="4" t="inlineStr">
        <is>
          <t>2022</t>
        </is>
      </c>
      <c r="C88" s="4" t="inlineStr">
        <is>
          <t>2023</t>
        </is>
      </c>
      <c r="D88" s="4" t="inlineStr">
        <is>
          <t>2024</t>
        </is>
      </c>
      <c r="E88" s="4" t="inlineStr">
        <is>
          <t>2025</t>
        </is>
      </c>
    </row>
    <row r="89" ht="22" customHeight="1">
      <c r="A89" s="5" t="inlineStr">
        <is>
          <t>应收账款周转天数</t>
        </is>
      </c>
      <c r="B89" s="6" t="n">
        <v>26.1</v>
      </c>
      <c r="C89" s="6" t="n">
        <v>27.5</v>
      </c>
      <c r="D89" s="6" t="n">
        <v>29.4</v>
      </c>
      <c r="E89" s="6" t="n">
        <v>32.1</v>
      </c>
    </row>
    <row r="90" ht="22" customHeight="1">
      <c r="A90" s="5" t="inlineStr">
        <is>
          <t>存货周转天数</t>
        </is>
      </c>
      <c r="B90" s="6" t="n">
        <v>8.1</v>
      </c>
      <c r="C90" s="6" t="n">
        <v>9.6</v>
      </c>
      <c r="D90" s="6" t="n">
        <v>11.8</v>
      </c>
      <c r="E90" s="6" t="n">
        <v>10.7</v>
      </c>
    </row>
    <row r="91" ht="22" customHeight="1">
      <c r="A91" s="5" t="inlineStr">
        <is>
          <t>应付账款周转天数</t>
        </is>
      </c>
      <c r="B91" s="6" t="n"/>
      <c r="C91" s="6" t="n"/>
      <c r="D91" s="6" t="n"/>
      <c r="E91" s="6" t="n"/>
    </row>
    <row r="92" ht="22" customHeight="1">
      <c r="A92" s="5" t="inlineStr">
        <is>
          <t>现金转换周期 CCC</t>
        </is>
      </c>
      <c r="B92" s="6" t="n"/>
      <c r="C92" s="6" t="n"/>
      <c r="D92" s="6" t="n"/>
      <c r="E92" s="6" t="n"/>
    </row>
    <row r="93" ht="8" customHeight="1"/>
    <row r="113" ht="8" customHeight="1"/>
    <row r="114" ht="26" customHeight="1">
      <c r="A114" s="3" t="inlineStr">
        <is>
          <t>5. 资产结构(2025年末)+ 商誉占净资产(减值风险)</t>
        </is>
      </c>
    </row>
    <row r="115" ht="36" customHeight="1">
      <c r="A115" s="4" t="inlineStr">
        <is>
          <t>2025年末科目</t>
        </is>
      </c>
      <c r="B115" s="4" t="inlineStr">
        <is>
          <t>金额(百万美元)</t>
        </is>
      </c>
      <c r="C115" s="4" t="inlineStr">
        <is>
          <t>占总资产(%)</t>
        </is>
      </c>
    </row>
    <row r="116" ht="22" customHeight="1">
      <c r="A116" s="5" t="inlineStr">
        <is>
          <t>货币资金</t>
        </is>
      </c>
      <c r="B116" s="6" t="n">
        <v>35934</v>
      </c>
      <c r="C116" s="6" t="n">
        <v>10</v>
      </c>
    </row>
    <row r="117" ht="22" customHeight="1">
      <c r="A117" s="5" t="inlineStr">
        <is>
          <t>应收账款</t>
        </is>
      </c>
      <c r="B117" s="6" t="n">
        <v>39777</v>
      </c>
      <c r="C117" s="6" t="n">
        <v>11.1</v>
      </c>
    </row>
    <row r="118" ht="22" customHeight="1">
      <c r="A118" s="5" t="inlineStr">
        <is>
          <t>存货</t>
        </is>
      </c>
      <c r="B118" s="6" t="n">
        <v>5718</v>
      </c>
      <c r="C118" s="6" t="n">
        <v>1.6</v>
      </c>
    </row>
    <row r="119" ht="22" customHeight="1">
      <c r="A119" s="5" t="inlineStr">
        <is>
          <t>固定资产</t>
        </is>
      </c>
      <c r="B119" s="6" t="n">
        <v>49834</v>
      </c>
      <c r="C119" s="6" t="n">
        <v>13.9</v>
      </c>
    </row>
    <row r="120" ht="22" customHeight="1">
      <c r="A120" s="5" t="inlineStr">
        <is>
          <t>在建工程</t>
        </is>
      </c>
      <c r="B120" s="6" t="n"/>
      <c r="C120" s="6" t="n"/>
    </row>
    <row r="121" ht="22" customHeight="1">
      <c r="A121" s="5" t="inlineStr">
        <is>
          <t>商誉</t>
        </is>
      </c>
      <c r="B121" s="6" t="n">
        <v>0</v>
      </c>
      <c r="C121" s="6" t="n">
        <v>0</v>
      </c>
    </row>
    <row r="122" ht="22" customHeight="1">
      <c r="A122" s="5" t="inlineStr">
        <is>
          <t>其他资产</t>
        </is>
      </c>
      <c r="B122" s="6" t="n">
        <v>227978</v>
      </c>
      <c r="C122" s="6" t="n">
        <v>63.5</v>
      </c>
    </row>
    <row r="123" ht="8" customHeight="1"/>
    <row r="142" ht="8" customHeight="1"/>
    <row r="143" ht="36" customHeight="1">
      <c r="A143" s="4" t="inlineStr">
        <is>
          <t>减值风险代理</t>
        </is>
      </c>
      <c r="B143" s="4" t="inlineStr">
        <is>
          <t>2022末</t>
        </is>
      </c>
      <c r="C143" s="4" t="inlineStr">
        <is>
          <t>2023末</t>
        </is>
      </c>
      <c r="D143" s="4" t="inlineStr">
        <is>
          <t>2024末</t>
        </is>
      </c>
      <c r="E143" s="4" t="inlineStr">
        <is>
          <t>2025末</t>
        </is>
      </c>
    </row>
    <row r="144" ht="22" customHeight="1">
      <c r="A144" s="5" t="inlineStr">
        <is>
          <t>商誉/归母净资产(%)</t>
        </is>
      </c>
      <c r="B144" s="6" t="n">
        <v>0</v>
      </c>
      <c r="C144" s="6" t="n">
        <v>0</v>
      </c>
      <c r="D144" s="6" t="n">
        <v>0</v>
      </c>
      <c r="E144" s="6" t="n">
        <v>0</v>
      </c>
    </row>
  </sheetData>
  <mergeCells count="7">
    <mergeCell ref="A114:E114"/>
    <mergeCell ref="A87:E87"/>
    <mergeCell ref="A4:E4"/>
    <mergeCell ref="A2:E2"/>
    <mergeCell ref="A1:E1"/>
    <mergeCell ref="A31:E31"/>
    <mergeCell ref="A56:E5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0" customHeight="1">
      <c r="A1" s="1" t="inlineStr">
        <is>
          <t>Apple Inc 2022-2025年 回报指标(E 类:ROE / ROA / ROIC / 杜邦)</t>
        </is>
      </c>
    </row>
    <row r="2" ht="22" customHeight="1">
      <c r="A2" s="2" t="inlineStr">
        <is>
          <t>数据源:2023.json, 2024.json, 2025.json    |    比率:%    |    周转:次    |    乘数:倍    |    ROE 为归母口径</t>
        </is>
      </c>
    </row>
    <row r="3" ht="8" customHeight="1"/>
    <row r="4" ht="26" customHeight="1">
      <c r="A4" s="3" t="inlineStr">
        <is>
          <t>1. 回报指标趋势(ROE / ROA / ROIC,%)</t>
        </is>
      </c>
    </row>
    <row r="5" ht="36" customHeight="1">
      <c r="A5" s="4" t="inlineStr">
        <is>
          <t>指标(%)</t>
        </is>
      </c>
      <c r="B5" s="4" t="inlineStr">
        <is>
          <t>2022</t>
        </is>
      </c>
      <c r="C5" s="4" t="inlineStr">
        <is>
          <t>2023</t>
        </is>
      </c>
      <c r="D5" s="4" t="inlineStr">
        <is>
          <t>2024</t>
        </is>
      </c>
      <c r="E5" s="4" t="inlineStr">
        <is>
          <t>2025</t>
        </is>
      </c>
    </row>
    <row r="6" ht="22" customHeight="1">
      <c r="A6" s="5" t="inlineStr">
        <is>
          <t>ROE 净资产收益率(归母)</t>
        </is>
      </c>
      <c r="B6" s="6" t="n">
        <v>196.96</v>
      </c>
      <c r="C6" s="6" t="n">
        <v>171.95</v>
      </c>
      <c r="D6" s="6" t="n">
        <v>157.41</v>
      </c>
      <c r="E6" s="6" t="n">
        <v>171.42</v>
      </c>
    </row>
    <row r="7" ht="22" customHeight="1">
      <c r="A7" s="5" t="inlineStr">
        <is>
          <t>ROA 总资产收益率</t>
        </is>
      </c>
      <c r="B7" s="6" t="n">
        <v>28.29</v>
      </c>
      <c r="C7" s="6" t="n">
        <v>27.5</v>
      </c>
      <c r="D7" s="6" t="n">
        <v>26.13</v>
      </c>
      <c r="E7" s="6" t="n">
        <v>30.93</v>
      </c>
    </row>
    <row r="8" ht="22" customHeight="1">
      <c r="A8" s="5" t="inlineStr">
        <is>
          <t>ROIC 投入资本回报率</t>
        </is>
      </c>
      <c r="B8" s="6" t="n"/>
      <c r="C8" s="6" t="n"/>
      <c r="D8" s="6" t="n"/>
      <c r="E8" s="6" t="n"/>
    </row>
    <row r="9" ht="8" customHeight="1"/>
    <row r="29" ht="8" customHeight="1"/>
    <row r="30" ht="26" customHeight="1">
      <c r="A30" s="3" t="inlineStr">
        <is>
          <t>2. 杜邦三因子(归母净利率% / 总资产周转 / 权益乘数)</t>
        </is>
      </c>
    </row>
    <row r="31" ht="36" customHeight="1">
      <c r="A31" s="4" t="inlineStr">
        <is>
          <t>杜邦因子</t>
        </is>
      </c>
      <c r="B31" s="4" t="inlineStr">
        <is>
          <t>2022</t>
        </is>
      </c>
      <c r="C31" s="4" t="inlineStr">
        <is>
          <t>2023</t>
        </is>
      </c>
      <c r="D31" s="4" t="inlineStr">
        <is>
          <t>2024</t>
        </is>
      </c>
      <c r="E31" s="4" t="inlineStr">
        <is>
          <t>2025</t>
        </is>
      </c>
    </row>
    <row r="32" ht="22" customHeight="1">
      <c r="A32" s="5" t="inlineStr">
        <is>
          <t>归母净利率(%)</t>
        </is>
      </c>
      <c r="B32" s="6" t="n">
        <v>25.31</v>
      </c>
      <c r="C32" s="6" t="n">
        <v>25.31</v>
      </c>
      <c r="D32" s="6" t="n">
        <v>23.97</v>
      </c>
      <c r="E32" s="6" t="n">
        <v>26.92</v>
      </c>
    </row>
    <row r="33" ht="22" customHeight="1">
      <c r="A33" s="5" t="inlineStr">
        <is>
          <t>总资产周转率(次)</t>
        </is>
      </c>
      <c r="B33" s="6" t="n">
        <v>1.12</v>
      </c>
      <c r="C33" s="6" t="n">
        <v>1.09</v>
      </c>
      <c r="D33" s="6" t="n">
        <v>1.09</v>
      </c>
      <c r="E33" s="6" t="n">
        <v>1.15</v>
      </c>
    </row>
    <row r="34" ht="22" customHeight="1">
      <c r="A34" s="5" t="inlineStr">
        <is>
          <t>权益乘数(倍)</t>
        </is>
      </c>
      <c r="B34" s="6" t="n">
        <v>6.96</v>
      </c>
      <c r="C34" s="6" t="n">
        <v>6.25</v>
      </c>
      <c r="D34" s="6" t="n">
        <v>6.03</v>
      </c>
      <c r="E34" s="6" t="n">
        <v>5.54</v>
      </c>
    </row>
    <row r="35" ht="8" customHeight="1"/>
    <row r="55" ht="8" customHeight="1"/>
    <row r="56" ht="26" customHeight="1">
      <c r="A56" s="3" t="inlineStr">
        <is>
          <t>3. ROE 杜邦归因(归母净利率 × 总资产周转 × 权益乘数 = ROE)</t>
        </is>
      </c>
    </row>
    <row r="57" ht="36" customHeight="1">
      <c r="A57" s="4" t="inlineStr">
        <is>
          <t>年度</t>
        </is>
      </c>
      <c r="B57" s="4" t="inlineStr">
        <is>
          <t>归母净利率</t>
        </is>
      </c>
      <c r="C57" s="4" t="inlineStr">
        <is>
          <t>总资产周转</t>
        </is>
      </c>
      <c r="D57" s="4" t="inlineStr">
        <is>
          <t>权益乘数</t>
        </is>
      </c>
      <c r="E57" s="4" t="inlineStr">
        <is>
          <t>ROE</t>
        </is>
      </c>
    </row>
    <row r="58" ht="22" customHeight="1">
      <c r="A58" s="5" t="inlineStr">
        <is>
          <t>2022</t>
        </is>
      </c>
      <c r="B58" s="6" t="inlineStr">
        <is>
          <t>25.31%</t>
        </is>
      </c>
      <c r="C58" s="6" t="inlineStr">
        <is>
          <t>1.12</t>
        </is>
      </c>
      <c r="D58" s="6" t="inlineStr">
        <is>
          <t>6.96</t>
        </is>
      </c>
      <c r="E58" s="6" t="inlineStr">
        <is>
          <t>196.96%</t>
        </is>
      </c>
    </row>
    <row r="59" ht="22" customHeight="1">
      <c r="A59" s="5" t="inlineStr">
        <is>
          <t>2023</t>
        </is>
      </c>
      <c r="B59" s="6" t="inlineStr">
        <is>
          <t>25.31%</t>
        </is>
      </c>
      <c r="C59" s="6" t="inlineStr">
        <is>
          <t>1.09</t>
        </is>
      </c>
      <c r="D59" s="6" t="inlineStr">
        <is>
          <t>6.25</t>
        </is>
      </c>
      <c r="E59" s="6" t="inlineStr">
        <is>
          <t>171.95%</t>
        </is>
      </c>
    </row>
    <row r="60" ht="22" customHeight="1">
      <c r="A60" s="5" t="inlineStr">
        <is>
          <t>2024</t>
        </is>
      </c>
      <c r="B60" s="6" t="inlineStr">
        <is>
          <t>23.97%</t>
        </is>
      </c>
      <c r="C60" s="6" t="inlineStr">
        <is>
          <t>1.09</t>
        </is>
      </c>
      <c r="D60" s="6" t="inlineStr">
        <is>
          <t>6.03</t>
        </is>
      </c>
      <c r="E60" s="6" t="inlineStr">
        <is>
          <t>157.41%</t>
        </is>
      </c>
    </row>
    <row r="61" ht="22" customHeight="1">
      <c r="A61" s="5" t="inlineStr">
        <is>
          <t>2025</t>
        </is>
      </c>
      <c r="B61" s="6" t="inlineStr">
        <is>
          <t>26.92%</t>
        </is>
      </c>
      <c r="C61" s="6" t="inlineStr">
        <is>
          <t>1.15</t>
        </is>
      </c>
      <c r="D61" s="6" t="inlineStr">
        <is>
          <t>5.54</t>
        </is>
      </c>
      <c r="E61" s="6" t="inlineStr">
        <is>
          <t>171.42%</t>
        </is>
      </c>
    </row>
  </sheetData>
  <mergeCells count="5">
    <mergeCell ref="A30:E30"/>
    <mergeCell ref="A4:E4"/>
    <mergeCell ref="A2:E2"/>
    <mergeCell ref="A1:E1"/>
    <mergeCell ref="A56:E5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2026-06-13T06:44:58Z</dcterms:created>
  <dcterms:modified xmlns:dcterms="http://purl.org/dc/terms/" xmlns:xsi="http://www.w3.org/2001/XMLSchema-instance" xsi:type="dcterms:W3CDTF">2026-06-13T06:45:03Z</dcterms:modified>
</cp:coreProperties>
</file>