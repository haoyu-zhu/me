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利润表" sheetId="1" state="visible" r:id="rId1"/>
    <sheet xmlns:r="http://schemas.openxmlformats.org/officeDocument/2006/relationships" name="B_业务分析" sheetId="2" state="visible" r:id="rId2"/>
    <sheet xmlns:r="http://schemas.openxmlformats.org/officeDocument/2006/relationships" name="C_现金流" sheetId="3" state="visible" r:id="rId3"/>
    <sheet xmlns:r="http://schemas.openxmlformats.org/officeDocument/2006/relationships" name="D_资产负债表" sheetId="4" state="visible" r:id="rId4"/>
    <sheet xmlns:r="http://schemas.openxmlformats.org/officeDocument/2006/relationships" name="E_回报指标" sheetId="5" state="visible" r:id="rId5"/>
    <sheet xmlns:r="http://schemas.openxmlformats.org/officeDocument/2006/relationships" name="F_治理红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10"/>
    </font>
    <font>
      <name val="微软雅黑"/>
      <b val="1"/>
      <color rgb="001F3864"/>
      <sz val="12"/>
    </font>
    <font>
      <name val="微软雅黑"/>
      <b val="1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 inden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营业总收入 / 毛利 / 净利润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'A_利润表'!A28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'A_利润表'!$B$27:$F$27</f>
            </numRef>
          </cat>
          <val>
            <numRef>
              <f>'A_利润表'!$B$28:$F$28</f>
            </numRef>
          </val>
        </ser>
        <ser>
          <idx val="1"/>
          <order val="1"/>
          <tx>
            <strRef>
              <f>'A_利润表'!A29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'A_利润表'!$B$27:$F$27</f>
            </numRef>
          </cat>
          <val>
            <numRef>
              <f>'A_利润表'!$B$29:$F$29</f>
            </numRef>
          </val>
        </ser>
        <ser>
          <idx val="2"/>
          <order val="2"/>
          <tx>
            <strRef>
              <f>'A_利润表'!A30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'A_利润表'!$B$27:$F$27</f>
            </numRef>
          </cat>
          <val>
            <numRef>
              <f>'A_利润表'!$B$30:$F$30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'A_利润表'!A54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'A_利润表'!$B$53:$F$53</f>
            </numRef>
          </cat>
          <val>
            <numRef>
              <f>'A_利润表'!$B$54:$F$54</f>
            </numRef>
          </val>
        </ser>
        <ser>
          <idx val="1"/>
          <order val="1"/>
          <tx>
            <strRef>
              <f>'A_利润表'!A55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'A_利润表'!$B$53:$F$53</f>
            </numRef>
          </cat>
          <val>
            <numRef>
              <f>'A_利润表'!$B$55:$F$55</f>
            </numRef>
          </val>
        </ser>
        <ser>
          <idx val="2"/>
          <order val="2"/>
          <tx>
            <strRef>
              <f>'A_利润表'!A56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'A_利润表'!$B$53:$F$53</f>
            </numRef>
          </cat>
          <val>
            <numRef>
              <f>'A_利润表'!$B$56:$F$56</f>
            </numRef>
          </val>
        </ser>
        <ser>
          <idx val="3"/>
          <order val="3"/>
          <tx>
            <strRef>
              <f>'A_利润表'!A57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'A_利润表'!$B$53:$F$53</f>
            </numRef>
          </cat>
          <val>
            <numRef>
              <f>'A_利润表'!$B$57:$F$57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盈利比率(%)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'A_利润表'!A81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'A_利润表'!$B$80:$F$80</f>
            </numRef>
          </cat>
          <val>
            <numRef>
              <f>'A_利润表'!$B$81:$F$81</f>
            </numRef>
          </val>
          <smooth val="1"/>
        </ser>
        <ser>
          <idx val="1"/>
          <order val="1"/>
          <tx>
            <strRef>
              <f>'A_利润表'!A82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'A_利润表'!$B$80:$F$80</f>
            </numRef>
          </cat>
          <val>
            <numRef>
              <f>'A_利润表'!$B$82:$F$82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 / 毛利(%)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'A_利润表'!A106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'A_利润表'!$B$105:$F$105</f>
            </numRef>
          </cat>
          <val>
            <numRef>
              <f>'A_利润表'!$B$106:$F$106</f>
            </numRef>
          </val>
          <smooth val="1"/>
        </ser>
        <ser>
          <idx val="1"/>
          <order val="1"/>
          <tx>
            <strRef>
              <f>'A_利润表'!A107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'A_利润表'!$B$105:$F$105</f>
            </numRef>
          </cat>
          <val>
            <numRef>
              <f>'A_利润表'!$B$107:$F$107</f>
            </numRef>
          </val>
          <smooth val="1"/>
        </ser>
        <ser>
          <idx val="2"/>
          <order val="2"/>
          <tx>
            <strRef>
              <f>'A_利润表'!A108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'A_利润表'!$B$105:$F$105</f>
            </numRef>
          </cat>
          <val>
            <numRef>
              <f>'A_利润表'!$B$108:$F$108</f>
            </numRef>
          </val>
          <smooth val="1"/>
        </ser>
        <ser>
          <idx val="3"/>
          <order val="3"/>
          <tx>
            <strRef>
              <f>'A_利润表'!A109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'A_利润表'!$B$105:$F$105</f>
            </numRef>
          </cat>
          <val>
            <numRef>
              <f>'A_利润表'!$B$109:$F$109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四费占毛利堆叠(%)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'A_利润表'!A133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'A_利润表'!$B$132:$F$132</f>
            </numRef>
          </cat>
          <val>
            <numRef>
              <f>'A_利润表'!$B$133:$F$133</f>
            </numRef>
          </val>
        </ser>
        <ser>
          <idx val="1"/>
          <order val="1"/>
          <tx>
            <strRef>
              <f>'A_利润表'!A134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'A_利润表'!$B$132:$F$132</f>
            </numRef>
          </cat>
          <val>
            <numRef>
              <f>'A_利润表'!$B$134:$F$134</f>
            </numRef>
          </val>
        </ser>
        <ser>
          <idx val="2"/>
          <order val="2"/>
          <tx>
            <strRef>
              <f>'A_利润表'!A135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'A_利润表'!$B$132:$F$132</f>
            </numRef>
          </cat>
          <val>
            <numRef>
              <f>'A_利润表'!$B$135:$F$135</f>
            </numRef>
          </val>
        </ser>
        <ser>
          <idx val="3"/>
          <order val="3"/>
          <tx>
            <strRef>
              <f>'A_利润表'!A136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'A_利润表'!$B$132:$F$132</f>
            </numRef>
          </cat>
          <val>
            <numRef>
              <f>'A_利润表'!$B$136:$F$136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业务线收入占比(%)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'B_业务分析'!A12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cat>
            <numRef>
              <f>'B_业务分析'!$B$12:$F$12</f>
            </numRef>
          </cat>
          <val>
            <numRef>
              <f>'B_业务分析'!$B$12:$F$12</f>
            </numRef>
          </val>
        </ser>
        <ser>
          <idx val="1"/>
          <order val="1"/>
          <tx>
            <strRef>
              <f>'B_业务分析'!A13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cat>
            <numRef>
              <f>'B_业务分析'!$B$12:$F$12</f>
            </numRef>
          </cat>
          <val>
            <numRef>
              <f>'B_业务分析'!$B$13:$F$13</f>
            </numRef>
          </val>
        </ser>
        <ser>
          <idx val="2"/>
          <order val="2"/>
          <tx>
            <strRef>
              <f>'B_业务分析'!A14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 w="20000">
              <a:solidFill>
                <a:srgbClr val="A9D18E"/>
              </a:solidFill>
              <a:prstDash val="solid"/>
            </a:ln>
          </spPr>
          <cat>
            <numRef>
              <f>'B_业务分析'!$B$12:$F$12</f>
            </numRef>
          </cat>
          <val>
            <numRef>
              <f>'B_业务分析'!$B$14:$F$14</f>
            </numRef>
          </val>
        </ser>
        <ser>
          <idx val="3"/>
          <order val="3"/>
          <tx>
            <strRef>
              <f>'B_业务分析'!A15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cat>
            <numRef>
              <f>'B_业务分析'!$B$12:$F$12</f>
            </numRef>
          </cat>
          <val>
            <numRef>
              <f>'B_业务分析'!$B$15:$F$15</f>
            </numRef>
          </val>
        </ser>
        <ser>
          <idx val="4"/>
          <order val="4"/>
          <tx>
            <strRef>
              <f>'B_业务分析'!A16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'B_业务分析'!$B$12:$F$12</f>
            </numRef>
          </cat>
          <val>
            <numRef>
              <f>'B_业务分析'!$B$16:$F$16</f>
            </numRef>
          </val>
        </ser>
        <ser>
          <idx val="5"/>
          <order val="5"/>
          <tx>
            <strRef>
              <f>'B_业务分析'!A17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'B_业务分析'!$B$12:$F$12</f>
            </numRef>
          </cat>
          <val>
            <numRef>
              <f>'B_业务分析'!$B$17:$F$17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业务线毛利率(%)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'B_业务分析'!A38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'B_业务分析'!$B$38:$F$38</f>
            </numRef>
          </cat>
          <val>
            <numRef>
              <f>'B_业务分析'!$B$38:$F$38</f>
            </numRef>
          </val>
          <smooth val="1"/>
        </ser>
        <ser>
          <idx val="1"/>
          <order val="1"/>
          <tx>
            <strRef>
              <f>'B_业务分析'!A39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'B_业务分析'!$B$38:$F$38</f>
            </numRef>
          </cat>
          <val>
            <numRef>
              <f>'B_业务分析'!$B$39:$F$39</f>
            </numRef>
          </val>
          <smooth val="1"/>
        </ser>
        <ser>
          <idx val="2"/>
          <order val="2"/>
          <tx>
            <strRef>
              <f>'B_业务分析'!A40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 w="20000">
              <a:solidFill>
                <a:srgbClr val="A9D1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'B_业务分析'!$B$38:$F$38</f>
            </numRef>
          </cat>
          <val>
            <numRef>
              <f>'B_业务分析'!$B$40:$F$40</f>
            </numRef>
          </val>
          <smooth val="1"/>
        </ser>
        <ser>
          <idx val="3"/>
          <order val="3"/>
          <tx>
            <strRef>
              <f>'B_业务分析'!A41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'B_业务分析'!$B$38:$F$38</f>
            </numRef>
          </cat>
          <val>
            <numRef>
              <f>'B_业务分析'!$B$41:$F$41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分地区收入(亿元)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'B_业务分析'!A64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'B_业务分析'!$B$64:$F$64</f>
            </numRef>
          </cat>
          <val>
            <numRef>
              <f>'B_业务分析'!$B$64:$F$64</f>
            </numRef>
          </val>
        </ser>
        <ser>
          <idx val="1"/>
          <order val="1"/>
          <tx>
            <strRef>
              <f>'B_业务分析'!A65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'B_业务分析'!$B$64:$F$64</f>
            </numRef>
          </cat>
          <val>
            <numRef>
              <f>'B_业务分析'!$B$65:$F$65</f>
            </numRef>
          </val>
        </ser>
        <ser>
          <idx val="2"/>
          <order val="2"/>
          <tx>
            <strRef>
              <f>'B_业务分析'!A66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'B_业务分析'!$B$64:$F$64</f>
            </numRef>
          </cat>
          <val>
            <numRef>
              <f>'B_业务分析'!$B$66:$F$66</f>
            </numRef>
          </val>
        </ser>
        <ser>
          <idx val="3"/>
          <order val="3"/>
          <tx>
            <strRef>
              <f>'B_业务分析'!A67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'B_业务分析'!$B$64:$F$64</f>
            </numRef>
          </cat>
          <val>
            <numRef>
              <f>'B_业务分析'!$B$67:$F$67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前五大集中度(%)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'B_业务分析'!A90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'B_业务分析'!$B$90:$F$90</f>
            </numRef>
          </cat>
          <val>
            <numRef>
              <f>'B_业务分析'!$B$90:$F$90</f>
            </numRef>
          </val>
          <smooth val="1"/>
        </ser>
        <ser>
          <idx val="1"/>
          <order val="1"/>
          <tx>
            <strRef>
              <f>'B_业务分析'!A91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'B_业务分析'!$B$90:$F$90</f>
            </numRef>
          </cat>
          <val>
            <numRef>
              <f>'B_业务分析'!$B$91:$F$91</f>
            </numRef>
          </val>
          <smooth val="1"/>
        </ser>
        <ser>
          <idx val="2"/>
          <order val="2"/>
          <tx>
            <strRef>
              <f>'B_业务分析'!A92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'B_业务分析'!$B$90:$F$90</f>
            </numRef>
          </cat>
          <val>
            <numRef>
              <f>'B_业务分析'!$B$92:$F$92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2025年客户集中度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'B_业务分析'!$A$114:$A$115</f>
            </numRef>
          </cat>
          <val>
            <numRef>
              <f>'B_业务分析'!$B$114:$B$115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2025年供应商集中度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'B_业务分析'!$A$114:$A$115</f>
            </numRef>
          </cat>
          <val>
            <numRef>
              <f>'B_业务分析'!$C$114:$C$115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员工总数 vs 技术人员(万人)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'B_业务分析'!A138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'B_业务分析'!$B$138:$F$138</f>
            </numRef>
          </cat>
          <val>
            <numRef>
              <f>'B_业务分析'!$B$138:$F$138</f>
            </numRef>
          </val>
        </ser>
        <ser>
          <idx val="1"/>
          <order val="1"/>
          <tx>
            <strRef>
              <f>'B_业务分析'!A139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cat>
            <numRef>
              <f>'B_业务分析'!$B$138:$F$138</f>
            </numRef>
          </cat>
          <val>
            <numRef>
              <f>'B_业务分析'!$B$139:$F$139</f>
            </numRef>
          </val>
        </ser>
        <ser>
          <idx val="2"/>
          <order val="2"/>
          <tx>
            <strRef>
              <f>'B_业务分析'!A140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'B_业务分析'!$B$138:$F$138</f>
            </numRef>
          </cat>
          <val>
            <numRef>
              <f>'B_业务分析'!$B$140:$F$140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2025年专业构成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'B_业务分析'!B163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'B_业务分析'!$A$164:$A$168</f>
            </numRef>
          </cat>
          <val>
            <numRef>
              <f>'B_业务分析'!$B$164:$B$168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三类现金流净额(亿元)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'C_现金流'!A6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'C_现金流'!$B$5:$F$5</f>
            </numRef>
          </cat>
          <val>
            <numRef>
              <f>'C_现金流'!$B$6:$F$6</f>
            </numRef>
          </val>
        </ser>
        <ser>
          <idx val="1"/>
          <order val="1"/>
          <tx>
            <strRef>
              <f>'C_现金流'!A7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'C_现金流'!$B$5:$F$5</f>
            </numRef>
          </cat>
          <val>
            <numRef>
              <f>'C_现金流'!$B$7:$F$7</f>
            </numRef>
          </val>
        </ser>
        <ser>
          <idx val="2"/>
          <order val="2"/>
          <tx>
            <strRef>
              <f>'C_现金流'!A8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cat>
            <numRef>
              <f>'C_现金流'!$B$5:$F$5</f>
            </numRef>
          </cat>
          <val>
            <numRef>
              <f>'C_现金流'!$B$8:$F$8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OCF vs 净利润(亿元)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'C_现金流'!$B$31:$F$31</f>
            </numRef>
          </cat>
          <val>
            <numRef>
              <f>'C_现金流'!$B$32:$F$32</f>
            </numRef>
          </val>
        </ser>
        <ser>
          <idx val="1"/>
          <order val="1"/>
          <tx>
            <strRef>
              <f>'C_现金流'!A33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'C_现金流'!$B$31:$F$31</f>
            </numRef>
          </cat>
          <val>
            <numRef>
              <f>'C_现金流'!$B$33:$F$33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资本开支 Capex(亿元)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'C_现金流'!A58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'C_现金流'!$B$57:$F$57</f>
            </numRef>
          </cat>
          <val>
            <numRef>
              <f>'C_现金流'!$B$58:$F$58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自由现金流 FCF(亿元)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'C_现金流'!A83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cat>
            <numRef>
              <f>'C_现金流'!$B$82:$F$82</f>
            </numRef>
          </cat>
          <val>
            <numRef>
              <f>'C_现金流'!$B$83:$F$83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股东回报(亿元)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'C_现金流'!A108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cat>
            <numRef>
              <f>'C_现金流'!$B$107:$F$107</f>
            </numRef>
          </cat>
          <val>
            <numRef>
              <f>'C_现金流'!$B$108:$F$108</f>
            </numRef>
          </val>
        </ser>
        <ser>
          <idx val="1"/>
          <order val="1"/>
          <tx>
            <strRef>
              <f>'C_现金流'!A109</f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 w="20000">
              <a:solidFill>
                <a:srgbClr val="806000"/>
              </a:solidFill>
              <a:prstDash val="solid"/>
            </a:ln>
          </spPr>
          <cat>
            <numRef>
              <f>'C_现金流'!$B$107:$F$107</f>
            </numRef>
          </cat>
          <val>
            <numRef>
              <f>'C_现金流'!$B$109:$F$109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期末现金及等价物余额(亿元)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'C_现金流'!A134</f>
            </strRef>
          </tx>
          <spPr>
            <a:solidFill xmlns:a="http://schemas.openxmlformats.org/drawingml/2006/main">
              <a:srgbClr val="385723"/>
            </a:solidFill>
            <a:ln xmlns:a="http://schemas.openxmlformats.org/drawingml/2006/main" w="20000">
              <a:solidFill>
                <a:srgbClr val="385723"/>
              </a:solidFill>
              <a:prstDash val="solid"/>
            </a:ln>
          </spPr>
          <cat>
            <numRef>
              <f>'C_现金流'!$B$133:$F$133</f>
            </numRef>
          </cat>
          <val>
            <numRef>
              <f>'C_现金流'!$B$134:$F$134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 / 负债 / 所有者权益(亿元)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'D_资产负债表'!A6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cat>
            <numRef>
              <f>'D_资产负债表'!$B$5:$F$5</f>
            </numRef>
          </cat>
          <val>
            <numRef>
              <f>'D_资产负债表'!$B$6:$F$6</f>
            </numRef>
          </val>
        </ser>
        <ser>
          <idx val="1"/>
          <order val="1"/>
          <tx>
            <strRef>
              <f>'D_资产负债表'!A7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'D_资产负债表'!$B$5:$F$5</f>
            </numRef>
          </cat>
          <val>
            <numRef>
              <f>'D_资产负债表'!$B$7:$F$7</f>
            </numRef>
          </val>
        </ser>
        <ser>
          <idx val="2"/>
          <order val="2"/>
          <tx>
            <strRef>
              <f>'D_资产负债表'!A8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'D_资产负债表'!$B$5:$F$5</f>
            </numRef>
          </cat>
          <val>
            <numRef>
              <f>'D_资产负债表'!$B$8:$F$8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杠杆趋势(%)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'D_资产负债表'!A33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'D_资产负债表'!$B$32:$F$32</f>
            </numRef>
          </cat>
          <val>
            <numRef>
              <f>'D_资产负债表'!$B$33:$F$33</f>
            </numRef>
          </val>
          <smooth val="1"/>
        </ser>
        <ser>
          <idx val="1"/>
          <order val="1"/>
          <tx>
            <strRef>
              <f>'D_资产负债表'!A34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'D_资产负债表'!$B$32:$F$32</f>
            </numRef>
          </cat>
          <val>
            <numRef>
              <f>'D_资产负债表'!$B$34:$F$34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有息负债结构(亿元)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'D_资产负债表'!A58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'D_资产负债表'!$B$57:$F$57</f>
            </numRef>
          </cat>
          <val>
            <numRef>
              <f>'D_资产负债表'!$B$58:$F$58</f>
            </numRef>
          </val>
        </ser>
        <ser>
          <idx val="1"/>
          <order val="1"/>
          <tx>
            <strRef>
              <f>'D_资产负债表'!A59</f>
            </strRef>
          </tx>
          <spPr>
            <a:solidFill xmlns:a="http://schemas.openxmlformats.org/drawingml/2006/main">
              <a:srgbClr val="F4978E"/>
            </a:solidFill>
            <a:ln xmlns:a="http://schemas.openxmlformats.org/drawingml/2006/main" w="20000">
              <a:solidFill>
                <a:srgbClr val="F4978E"/>
              </a:solidFill>
              <a:prstDash val="solid"/>
            </a:ln>
          </spPr>
          <cat>
            <numRef>
              <f>'D_资产负债表'!$B$57:$F$57</f>
            </numRef>
          </cat>
          <val>
            <numRef>
              <f>'D_资产负债表'!$B$59:$F$59</f>
            </numRef>
          </val>
        </ser>
        <ser>
          <idx val="2"/>
          <order val="2"/>
          <tx>
            <strRef>
              <f>'D_资产负债表'!A60</f>
            </strRef>
          </tx>
          <spPr>
            <a:solidFill xmlns:a="http://schemas.openxmlformats.org/drawingml/2006/main">
              <a:srgbClr val="8B0000"/>
            </a:solidFill>
            <a:ln xmlns:a="http://schemas.openxmlformats.org/drawingml/2006/main" w="20000">
              <a:solidFill>
                <a:srgbClr val="8B0000"/>
              </a:solidFill>
              <a:prstDash val="solid"/>
            </a:ln>
          </spPr>
          <cat>
            <numRef>
              <f>'D_资产负债表'!$B$57:$F$57</f>
            </numRef>
          </cat>
          <val>
            <numRef>
              <f>'D_资产负债表'!$B$60:$F$60</f>
            </numRef>
          </val>
        </ser>
        <ser>
          <idx val="3"/>
          <order val="3"/>
          <tx>
            <strRef>
              <f>'D_资产负债表'!A61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'D_资产负债表'!$B$57:$F$57</f>
            </numRef>
          </cat>
          <val>
            <numRef>
              <f>'D_资产负债表'!$B$61:$F$61</f>
            </numRef>
          </val>
        </ser>
        <ser>
          <idx val="4"/>
          <order val="4"/>
          <tx>
            <strRef>
              <f>'D_资产负债表'!A62</f>
            </strRef>
          </tx>
          <spPr>
            <a:solidFill xmlns:a="http://schemas.openxmlformats.org/drawingml/2006/main">
              <a:srgbClr val="9C6B30"/>
            </a:solidFill>
            <a:ln xmlns:a="http://schemas.openxmlformats.org/drawingml/2006/main" w="20000">
              <a:solidFill>
                <a:srgbClr val="9C6B30"/>
              </a:solidFill>
              <a:prstDash val="solid"/>
            </a:ln>
          </spPr>
          <cat>
            <numRef>
              <f>'D_资产负债表'!$B$57:$F$57</f>
            </numRef>
          </cat>
          <val>
            <numRef>
              <f>'D_资产负债表'!$B$62:$F$62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营运资本周转(天)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'D_资产负债表'!A89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'D_资产负债表'!$B$88:$F$88</f>
            </numRef>
          </cat>
          <val>
            <numRef>
              <f>'D_资产负债表'!$B$89:$F$89</f>
            </numRef>
          </val>
          <smooth val="1"/>
        </ser>
        <ser>
          <idx val="1"/>
          <order val="1"/>
          <tx>
            <strRef>
              <f>'D_资产负债表'!A90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'D_资产负债表'!$B$88:$F$88</f>
            </numRef>
          </cat>
          <val>
            <numRef>
              <f>'D_资产负债表'!$B$90:$F$90</f>
            </numRef>
          </val>
          <smooth val="1"/>
        </ser>
        <ser>
          <idx val="2"/>
          <order val="2"/>
          <tx>
            <strRef>
              <f>'D_资产负债表'!A91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'D_资产负债表'!$B$88:$F$88</f>
            </numRef>
          </cat>
          <val>
            <numRef>
              <f>'D_资产负债表'!$B$91:$F$91</f>
            </numRef>
          </val>
          <smooth val="1"/>
        </ser>
        <ser>
          <idx val="3"/>
          <order val="3"/>
          <tx>
            <strRef>
              <f>'D_资产负债表'!A92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'D_资产负债表'!$B$88:$F$88</f>
            </numRef>
          </cat>
          <val>
            <numRef>
              <f>'D_资产负债表'!$B$92:$F$92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2025年末资产结构</a:t>
            </a:r>
          </a:p>
        </rich>
      </tx>
    </title>
    <plotArea>
      <pieChart>
        <varyColors val="1"/>
        <ser>
          <idx val="0"/>
          <order val="0"/>
          <tx>
            <strRef>
              <f>'D_资产负债表'!B115</f>
            </strRef>
          </tx>
          <spPr>
            <a:ln xmlns:a="http://schemas.openxmlformats.org/drawingml/2006/main">
              <a:prstDash val="solid"/>
            </a:ln>
          </spPr>
          <cat>
            <numRef>
              <f>'D_资产负债表'!$A$116:$A$122</f>
            </numRef>
          </cat>
          <val>
            <numRef>
              <f>'D_资产负债表'!$B$116:$B$122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回报指标趋势(%)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'E_回报指标'!A6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'E_回报指标'!$B$5:$F$5</f>
            </numRef>
          </cat>
          <val>
            <numRef>
              <f>'E_回报指标'!$B$6:$F$6</f>
            </numRef>
          </val>
          <smooth val="1"/>
        </ser>
        <ser>
          <idx val="1"/>
          <order val="1"/>
          <tx>
            <strRef>
              <f>'E_回报指标'!A7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'E_回报指标'!$B$5:$F$5</f>
            </numRef>
          </cat>
          <val>
            <numRef>
              <f>'E_回报指标'!$B$7:$F$7</f>
            </numRef>
          </val>
          <smooth val="1"/>
        </ser>
        <ser>
          <idx val="2"/>
          <order val="2"/>
          <tx>
            <strRef>
              <f>'E_回报指标'!A8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'E_回报指标'!$B$5:$F$5</f>
            </numRef>
          </cat>
          <val>
            <numRef>
              <f>'E_回报指标'!$B$8:$F$8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杜邦三因子分解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'E_回报指标'!$B$31:$F$31</f>
            </numRef>
          </cat>
          <val>
            <numRef>
              <f>'E_回报指标'!$B$32:$F$32</f>
            </numRef>
          </val>
          <smooth val="1"/>
        </ser>
        <ser>
          <idx val="1"/>
          <order val="1"/>
          <tx>
            <strRef>
              <f>'E_回报指标'!A33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'E_回报指标'!$B$31:$F$31</f>
            </numRef>
          </cat>
          <val>
            <numRef>
              <f>'E_回报指标'!$B$33:$F$33</f>
            </numRef>
          </val>
          <smooth val="1"/>
        </ser>
        <ser>
          <idx val="2"/>
          <order val="2"/>
          <tx>
            <strRef>
              <f>'E_回报指标'!A34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'E_回报指标'!$B$31:$F$31</f>
            </numRef>
          </cat>
          <val>
            <numRef>
              <f>'E_回报指标'!$B$34:$F$34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%(净利率)/ 次 / 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2024年末前十大股东持股</a:t>
            </a:r>
          </a:p>
        </rich>
      </tx>
    </title>
    <plotArea>
      <pieChart>
        <varyColors val="1"/>
        <ser>
          <idx val="0"/>
          <order val="0"/>
          <tx>
            <strRef>
              <f>'F_治理红旗'!B16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'F_治理红旗'!$A$17:$A$26</f>
            </numRef>
          </cat>
          <val>
            <numRef>
              <f>'F_治理红旗'!$B$17:$B$26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对外担保结构(亿元)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'F_治理红旗'!B48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'F_治理红旗'!$A$49:$A$52</f>
            </numRef>
          </cat>
          <val>
            <numRef>
              <f>'F_治理红旗'!$B$49:$B$52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Relationship Type="http://schemas.openxmlformats.org/officeDocument/2006/relationships/chart" Target="/xl/charts/chart11.xml" Id="rId6"/><Relationship Type="http://schemas.openxmlformats.org/officeDocument/2006/relationships/chart" Target="/xl/charts/chart12.xml" Id="rId7"/><Relationship Type="http://schemas.openxmlformats.org/officeDocument/2006/relationships/chart" Target="/xl/charts/chart13.xml" Id="rId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Relationship Type="http://schemas.openxmlformats.org/officeDocument/2006/relationships/chart" Target="/xl/charts/chart18.xml" Id="rId5"/><Relationship Type="http://schemas.openxmlformats.org/officeDocument/2006/relationships/chart" Target="/xl/charts/chart1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Relationship Type="http://schemas.openxmlformats.org/officeDocument/2006/relationships/chart" Target="/xl/charts/chart23.xml" Id="rId4"/><Relationship Type="http://schemas.openxmlformats.org/officeDocument/2006/relationships/chart" Target="/xl/charts/chart24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58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83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110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137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</row>
      <rowOff>0</rowOff>
    </from>
    <ext cx="8286750" cy="2838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42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68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93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116</row>
      <rowOff>0</rowOff>
    </from>
    <ext cx="396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116</row>
      <rowOff>0</rowOff>
    </from>
    <ext cx="396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143</row>
      <rowOff>0</rowOff>
    </from>
    <ext cx="7920000" cy="34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169</row>
      <rowOff>0</rowOff>
    </from>
    <ext cx="7920000" cy="34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85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111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136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66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93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123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27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53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30" customHeight="1">
      <c r="A1" s="1" t="inlineStr">
        <is>
          <t>比亚迪 2021-2025 利润表(A 类)</t>
        </is>
      </c>
    </row>
    <row r="2" ht="22" customHeight="1">
      <c r="A2" s="2" t="inlineStr">
        <is>
          <t>数据源:2022.json, 2023.json, 2024.json, 2025.json    |    金额单位:亿元    |    比率单位:%</t>
        </is>
      </c>
    </row>
    <row r="3" ht="26" customHeight="1">
      <c r="A3" s="3" t="inlineStr">
        <is>
          <t>0. 收支拆解(2025年)  — 收入=橙 / 成本=蓝 / 利润=红 / 净利=绿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8" customHeight="1"/>
    <row r="25" ht="8" customHeight="1"/>
    <row r="26" ht="26" customHeight="1">
      <c r="A26" s="3" t="inlineStr">
        <is>
          <t>1. 营业收入 / 毛利 / 净利润(亿元)</t>
        </is>
      </c>
    </row>
    <row r="27" ht="36" customHeight="1">
      <c r="A27" s="4" t="inlineStr">
        <is>
          <t>指标(亿元)</t>
        </is>
      </c>
      <c r="B27" s="4" t="inlineStr">
        <is>
          <t>2021</t>
        </is>
      </c>
      <c r="C27" s="4" t="inlineStr">
        <is>
          <t>2022</t>
        </is>
      </c>
      <c r="D27" s="4" t="inlineStr">
        <is>
          <t>2023</t>
        </is>
      </c>
      <c r="E27" s="4" t="inlineStr">
        <is>
          <t>2024</t>
        </is>
      </c>
      <c r="F27" s="4" t="inlineStr">
        <is>
          <t>2025</t>
        </is>
      </c>
    </row>
    <row r="28" ht="22" customHeight="1">
      <c r="A28" s="5" t="inlineStr">
        <is>
          <t>营业总收入</t>
        </is>
      </c>
      <c r="B28" s="6" t="n">
        <v>2161.42</v>
      </c>
      <c r="C28" s="6" t="n">
        <v>4240.61</v>
      </c>
      <c r="D28" s="6" t="n">
        <v>6023.15</v>
      </c>
      <c r="E28" s="6" t="n">
        <v>7771.02</v>
      </c>
      <c r="F28" s="6" t="n">
        <v>8039.65</v>
      </c>
    </row>
    <row r="29" ht="22" customHeight="1">
      <c r="A29" s="5" t="inlineStr">
        <is>
          <t>毛利</t>
        </is>
      </c>
      <c r="B29" s="6" t="n">
        <v>281.45</v>
      </c>
      <c r="C29" s="6" t="n">
        <v>722.45</v>
      </c>
      <c r="D29" s="6" t="n">
        <v>1119.16</v>
      </c>
      <c r="E29" s="6" t="n">
        <v>1510.56</v>
      </c>
      <c r="F29" s="6" t="n">
        <v>1426.6</v>
      </c>
    </row>
    <row r="30" ht="22" customHeight="1">
      <c r="A30" s="5" t="inlineStr">
        <is>
          <t>净利润(合并)</t>
        </is>
      </c>
      <c r="B30" s="6" t="n">
        <v>39.67</v>
      </c>
      <c r="C30" s="6" t="n">
        <v>177.13</v>
      </c>
      <c r="D30" s="6" t="n">
        <v>313.44</v>
      </c>
      <c r="E30" s="6" t="n">
        <v>415.88</v>
      </c>
      <c r="F30" s="6" t="n">
        <v>337.61</v>
      </c>
    </row>
    <row r="31" ht="8" customHeight="1"/>
    <row r="51" ht="8" customHeight="1"/>
    <row r="52" ht="26" customHeight="1">
      <c r="A52" s="3" t="inlineStr">
        <is>
          <t>2. 四费(销售 / 管理 / 研发 / 财务,亿元)</t>
        </is>
      </c>
    </row>
    <row r="53" ht="36" customHeight="1">
      <c r="A53" s="4" t="inlineStr">
        <is>
          <t>指标(亿元)</t>
        </is>
      </c>
      <c r="B53" s="4" t="inlineStr">
        <is>
          <t>2021</t>
        </is>
      </c>
      <c r="C53" s="4" t="inlineStr">
        <is>
          <t>2022</t>
        </is>
      </c>
      <c r="D53" s="4" t="inlineStr">
        <is>
          <t>2023</t>
        </is>
      </c>
      <c r="E53" s="4" t="inlineStr">
        <is>
          <t>2024</t>
        </is>
      </c>
      <c r="F53" s="4" t="inlineStr">
        <is>
          <t>2025</t>
        </is>
      </c>
    </row>
    <row r="54" ht="22" customHeight="1">
      <c r="A54" s="5" t="inlineStr">
        <is>
          <t>销售费用</t>
        </is>
      </c>
      <c r="B54" s="6" t="n">
        <v>60.82</v>
      </c>
      <c r="C54" s="6" t="n">
        <v>150.61</v>
      </c>
      <c r="D54" s="6" t="n">
        <v>153.71</v>
      </c>
      <c r="E54" s="6" t="n">
        <v>240.85</v>
      </c>
      <c r="F54" s="6" t="n">
        <v>261.85</v>
      </c>
    </row>
    <row r="55" ht="22" customHeight="1">
      <c r="A55" s="5" t="inlineStr">
        <is>
          <t>管理费用</t>
        </is>
      </c>
      <c r="B55" s="6" t="n">
        <v>57.1</v>
      </c>
      <c r="C55" s="6" t="n">
        <v>100.07</v>
      </c>
      <c r="D55" s="6" t="n">
        <v>134.62</v>
      </c>
      <c r="E55" s="6" t="n">
        <v>186.45</v>
      </c>
      <c r="F55" s="6" t="n">
        <v>202</v>
      </c>
    </row>
    <row r="56" ht="22" customHeight="1">
      <c r="A56" s="5" t="inlineStr">
        <is>
          <t>研发费用</t>
        </is>
      </c>
      <c r="B56" s="6" t="n">
        <v>79.91</v>
      </c>
      <c r="C56" s="6" t="n">
        <v>186.54</v>
      </c>
      <c r="D56" s="6" t="n">
        <v>395.75</v>
      </c>
      <c r="E56" s="6" t="n">
        <v>531.95</v>
      </c>
      <c r="F56" s="6" t="n">
        <v>579.78</v>
      </c>
    </row>
    <row r="57" ht="22" customHeight="1">
      <c r="A57" s="5" t="inlineStr">
        <is>
          <t>财务费用(净)</t>
        </is>
      </c>
      <c r="B57" s="6" t="n">
        <v>17.87</v>
      </c>
      <c r="C57" s="6" t="n">
        <v>-16.18</v>
      </c>
      <c r="D57" s="6" t="n">
        <v>-14.75</v>
      </c>
      <c r="E57" s="6" t="n">
        <v>12.16</v>
      </c>
      <c r="F57" s="6" t="n">
        <v>-6.49</v>
      </c>
    </row>
    <row r="58" ht="8" customHeight="1"/>
    <row r="78" ht="8" customHeight="1"/>
    <row r="79" ht="26" customHeight="1">
      <c r="A79" s="3" t="inlineStr">
        <is>
          <t>3. 盈利比率(毛利率 / 净利率)</t>
        </is>
      </c>
    </row>
    <row r="80" ht="36" customHeight="1">
      <c r="A80" s="4" t="inlineStr">
        <is>
          <t>比率 (%)</t>
        </is>
      </c>
      <c r="B80" s="4" t="inlineStr">
        <is>
          <t>2021</t>
        </is>
      </c>
      <c r="C80" s="4" t="inlineStr">
        <is>
          <t>2022</t>
        </is>
      </c>
      <c r="D80" s="4" t="inlineStr">
        <is>
          <t>2023</t>
        </is>
      </c>
      <c r="E80" s="4" t="inlineStr">
        <is>
          <t>2024</t>
        </is>
      </c>
      <c r="F80" s="4" t="inlineStr">
        <is>
          <t>2025</t>
        </is>
      </c>
    </row>
    <row r="81" ht="22" customHeight="1">
      <c r="A81" s="5" t="inlineStr">
        <is>
          <t>毛利率</t>
        </is>
      </c>
      <c r="B81" s="6" t="n">
        <v>13.02</v>
      </c>
      <c r="C81" s="6" t="n">
        <v>17.04</v>
      </c>
      <c r="D81" s="6" t="n">
        <v>18.58</v>
      </c>
      <c r="E81" s="6" t="n">
        <v>19.44</v>
      </c>
      <c r="F81" s="6" t="n">
        <v>17.74</v>
      </c>
    </row>
    <row r="82" ht="22" customHeight="1">
      <c r="A82" s="5" t="inlineStr">
        <is>
          <t>净利率</t>
        </is>
      </c>
      <c r="B82" s="6" t="n">
        <v>1.84</v>
      </c>
      <c r="C82" s="6" t="n">
        <v>4.18</v>
      </c>
      <c r="D82" s="6" t="n">
        <v>5.2</v>
      </c>
      <c r="E82" s="6" t="n">
        <v>5.35</v>
      </c>
      <c r="F82" s="6" t="n">
        <v>4.2</v>
      </c>
    </row>
    <row r="83" ht="8" customHeight="1"/>
    <row r="103" ht="8" customHeight="1"/>
    <row r="104" ht="26" customHeight="1">
      <c r="A104" s="3" t="inlineStr">
        <is>
          <t>4. 四费/毛利(销售 / 管理 / 研发 / 财务 占毛利,%)</t>
        </is>
      </c>
    </row>
    <row r="105" ht="36" customHeight="1">
      <c r="A105" s="4" t="inlineStr">
        <is>
          <t>占毛利 (%)</t>
        </is>
      </c>
      <c r="B105" s="4" t="inlineStr">
        <is>
          <t>2021</t>
        </is>
      </c>
      <c r="C105" s="4" t="inlineStr">
        <is>
          <t>2022</t>
        </is>
      </c>
      <c r="D105" s="4" t="inlineStr">
        <is>
          <t>2023</t>
        </is>
      </c>
      <c r="E105" s="4" t="inlineStr">
        <is>
          <t>2024</t>
        </is>
      </c>
      <c r="F105" s="4" t="inlineStr">
        <is>
          <t>2025</t>
        </is>
      </c>
    </row>
    <row r="106" ht="22" customHeight="1">
      <c r="A106" s="5" t="inlineStr">
        <is>
          <t>销售/毛利</t>
        </is>
      </c>
      <c r="B106" s="6" t="n">
        <v>21.61</v>
      </c>
      <c r="C106" s="6" t="n">
        <v>20.85</v>
      </c>
      <c r="D106" s="6" t="n">
        <v>13.73</v>
      </c>
      <c r="E106" s="6" t="n">
        <v>15.94</v>
      </c>
      <c r="F106" s="6" t="n">
        <v>18.35</v>
      </c>
    </row>
    <row r="107" ht="22" customHeight="1">
      <c r="A107" s="5" t="inlineStr">
        <is>
          <t>管理/毛利</t>
        </is>
      </c>
      <c r="B107" s="6" t="n">
        <v>20.29</v>
      </c>
      <c r="C107" s="6" t="n">
        <v>13.85</v>
      </c>
      <c r="D107" s="6" t="n">
        <v>12.03</v>
      </c>
      <c r="E107" s="6" t="n">
        <v>12.34</v>
      </c>
      <c r="F107" s="6" t="n">
        <v>14.16</v>
      </c>
    </row>
    <row r="108" ht="22" customHeight="1">
      <c r="A108" s="5" t="inlineStr">
        <is>
          <t>研发/毛利</t>
        </is>
      </c>
      <c r="B108" s="6" t="n">
        <v>28.39</v>
      </c>
      <c r="C108" s="6" t="n">
        <v>25.82</v>
      </c>
      <c r="D108" s="6" t="n">
        <v>35.36</v>
      </c>
      <c r="E108" s="6" t="n">
        <v>35.22</v>
      </c>
      <c r="F108" s="6" t="n">
        <v>40.64</v>
      </c>
    </row>
    <row r="109" ht="22" customHeight="1">
      <c r="A109" s="5" t="inlineStr">
        <is>
          <t>财务/毛利</t>
        </is>
      </c>
      <c r="B109" s="6" t="n">
        <v>6.35</v>
      </c>
      <c r="C109" s="6" t="n">
        <v>2.24</v>
      </c>
      <c r="D109" s="6" t="n">
        <v>1.32</v>
      </c>
      <c r="E109" s="6" t="n">
        <v>0.8100000000000001</v>
      </c>
      <c r="F109" s="6" t="n">
        <v>0.46</v>
      </c>
    </row>
    <row r="110" ht="8" customHeight="1"/>
    <row r="130" ht="8" customHeight="1"/>
    <row r="131" ht="26" customHeight="1">
      <c r="A131" s="3" t="inlineStr">
        <is>
          <t>5. 四费占毛利堆叠(%)</t>
        </is>
      </c>
    </row>
    <row r="132" ht="36" customHeight="1">
      <c r="A132" s="4" t="inlineStr">
        <is>
          <t>占毛利 (%)</t>
        </is>
      </c>
      <c r="B132" s="4" t="inlineStr">
        <is>
          <t>2021</t>
        </is>
      </c>
      <c r="C132" s="4" t="inlineStr">
        <is>
          <t>2022</t>
        </is>
      </c>
      <c r="D132" s="4" t="inlineStr">
        <is>
          <t>2023</t>
        </is>
      </c>
      <c r="E132" s="4" t="inlineStr">
        <is>
          <t>2024</t>
        </is>
      </c>
      <c r="F132" s="4" t="inlineStr">
        <is>
          <t>2025</t>
        </is>
      </c>
    </row>
    <row r="133" ht="22" customHeight="1">
      <c r="A133" s="5" t="inlineStr">
        <is>
          <t>销售/毛利</t>
        </is>
      </c>
      <c r="B133" s="6" t="n">
        <v>21.61</v>
      </c>
      <c r="C133" s="6" t="n">
        <v>20.85</v>
      </c>
      <c r="D133" s="6" t="n">
        <v>13.73</v>
      </c>
      <c r="E133" s="6" t="n">
        <v>15.94</v>
      </c>
      <c r="F133" s="6" t="n">
        <v>18.35</v>
      </c>
    </row>
    <row r="134" ht="22" customHeight="1">
      <c r="A134" s="5" t="inlineStr">
        <is>
          <t>管理/毛利</t>
        </is>
      </c>
      <c r="B134" s="6" t="n">
        <v>20.29</v>
      </c>
      <c r="C134" s="6" t="n">
        <v>13.85</v>
      </c>
      <c r="D134" s="6" t="n">
        <v>12.03</v>
      </c>
      <c r="E134" s="6" t="n">
        <v>12.34</v>
      </c>
      <c r="F134" s="6" t="n">
        <v>14.16</v>
      </c>
    </row>
    <row r="135" ht="22" customHeight="1">
      <c r="A135" s="5" t="inlineStr">
        <is>
          <t>研发/毛利</t>
        </is>
      </c>
      <c r="B135" s="6" t="n">
        <v>28.39</v>
      </c>
      <c r="C135" s="6" t="n">
        <v>25.82</v>
      </c>
      <c r="D135" s="6" t="n">
        <v>35.36</v>
      </c>
      <c r="E135" s="6" t="n">
        <v>35.22</v>
      </c>
      <c r="F135" s="6" t="n">
        <v>40.64</v>
      </c>
    </row>
    <row r="136" ht="22" customHeight="1">
      <c r="A136" s="5" t="inlineStr">
        <is>
          <t>财务/毛利</t>
        </is>
      </c>
      <c r="B136" s="6" t="n">
        <v>6.35</v>
      </c>
      <c r="C136" s="6" t="n">
        <v>2.24</v>
      </c>
      <c r="D136" s="6" t="n">
        <v>1.32</v>
      </c>
      <c r="E136" s="6" t="n">
        <v>0.8100000000000001</v>
      </c>
      <c r="F136" s="6" t="n">
        <v>0.46</v>
      </c>
    </row>
    <row r="137" ht="8" customHeight="1"/>
    <row r="157" ht="8" customHeight="1"/>
    <row r="158" ht="26" customHeight="1">
      <c r="A158" s="3" t="inlineStr">
        <is>
          <t>6. 数据质量(追溯重述记录)</t>
        </is>
      </c>
    </row>
    <row r="159" ht="36" customHeight="1">
      <c r="A159" s="4" t="inlineStr">
        <is>
          <t>字段</t>
        </is>
      </c>
      <c r="B159" s="4" t="inlineStr">
        <is>
          <t>年份</t>
        </is>
      </c>
      <c r="C159" s="4" t="inlineStr">
        <is>
          <t>当前值</t>
        </is>
      </c>
      <c r="D159" s="4" t="inlineStr">
        <is>
          <t>原值</t>
        </is>
      </c>
      <c r="E159" s="4" t="inlineStr">
        <is>
          <t>源年报</t>
        </is>
      </c>
      <c r="F159" s="4" t="inlineStr">
        <is>
          <t>原年报</t>
        </is>
      </c>
    </row>
    <row r="160" ht="22" customHeight="1">
      <c r="A160" s="5" t="inlineStr">
        <is>
          <t>营业成本</t>
        </is>
      </c>
      <c r="B160" s="6" t="inlineStr">
        <is>
          <t>2023年</t>
        </is>
      </c>
      <c r="C160" s="6" t="inlineStr">
        <is>
          <t>490,398,945 千元</t>
        </is>
      </c>
      <c r="D160" s="6" t="inlineStr">
        <is>
          <t>480,558,350 千元</t>
        </is>
      </c>
      <c r="E160" s="6" t="inlineStr">
        <is>
          <t>2024.json</t>
        </is>
      </c>
      <c r="F160" s="6" t="inlineStr">
        <is>
          <t>2023.json</t>
        </is>
      </c>
    </row>
    <row r="161" ht="22" customHeight="1">
      <c r="A161" s="5" t="inlineStr">
        <is>
          <t>销售费用</t>
        </is>
      </c>
      <c r="B161" s="6" t="inlineStr">
        <is>
          <t>2023年</t>
        </is>
      </c>
      <c r="C161" s="6" t="inlineStr">
        <is>
          <t>15,370,800 千元</t>
        </is>
      </c>
      <c r="D161" s="6" t="inlineStr">
        <is>
          <t>25,211,395 千元</t>
        </is>
      </c>
      <c r="E161" s="6" t="inlineStr">
        <is>
          <t>2024.json</t>
        </is>
      </c>
      <c r="F161" s="6" t="inlineStr">
        <is>
          <t>2023.json</t>
        </is>
      </c>
    </row>
  </sheetData>
  <mergeCells count="9">
    <mergeCell ref="A2:F2"/>
    <mergeCell ref="A52:F52"/>
    <mergeCell ref="A1:F1"/>
    <mergeCell ref="A79:F79"/>
    <mergeCell ref="A158:F158"/>
    <mergeCell ref="A26:F26"/>
    <mergeCell ref="A131:F131"/>
    <mergeCell ref="A3:F3"/>
    <mergeCell ref="A104:F10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30" customHeight="1">
      <c r="A1" s="1" t="inlineStr">
        <is>
          <t>比亚迪 2021-2025 业务分析(B 类)</t>
        </is>
      </c>
    </row>
    <row r="2" ht="22" customHeight="1">
      <c r="A2" s="2" t="inlineStr">
        <is>
          <t>数据源:2022.json, 2023.json, 2024.json, 2025.json    |    金额单位:亿元    |    比率单位:%</t>
        </is>
      </c>
    </row>
    <row r="3" ht="8" customHeight="1"/>
    <row r="4" ht="26" customHeight="1">
      <c r="A4" s="3" t="inlineStr">
        <is>
          <t>1. 分业务线收入(亿元) + 毛利率(%)</t>
        </is>
      </c>
    </row>
    <row r="5" ht="36" customHeight="1">
      <c r="A5" s="4" t="inlineStr">
        <is>
          <t>业务线(亿元)</t>
        </is>
      </c>
      <c r="B5" s="4" t="inlineStr">
        <is>
          <t>2021</t>
        </is>
      </c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2025</t>
        </is>
      </c>
    </row>
    <row r="6" ht="22" customHeight="1">
      <c r="A6" s="5" t="inlineStr">
        <is>
          <t>日用电子器件制造业</t>
        </is>
      </c>
      <c r="B6" s="6" t="n">
        <v>864.54</v>
      </c>
      <c r="C6" s="6" t="n">
        <v>988.15</v>
      </c>
      <c r="D6" s="6" t="n">
        <v>1185.77</v>
      </c>
      <c r="E6" s="6" t="n">
        <v>1596.09</v>
      </c>
      <c r="F6" s="6" t="n">
        <v>1552.37</v>
      </c>
    </row>
    <row r="7" ht="22" customHeight="1">
      <c r="A7" s="5" t="inlineStr">
        <is>
          <t>交通运输设备及电气制造业</t>
        </is>
      </c>
      <c r="B7" s="6" t="n"/>
      <c r="C7" s="6" t="n"/>
      <c r="D7" s="6" t="n">
        <v>4834.53</v>
      </c>
      <c r="E7" s="6" t="n">
        <v>6173.82</v>
      </c>
      <c r="F7" s="6" t="n">
        <v>6486.46</v>
      </c>
    </row>
    <row r="8" ht="22" customHeight="1">
      <c r="A8" s="5" t="inlineStr">
        <is>
          <t>其他</t>
        </is>
      </c>
      <c r="B8" s="6" t="n">
        <v>7.27</v>
      </c>
      <c r="C8" s="6" t="n">
        <v>5.54</v>
      </c>
      <c r="D8" s="6" t="n">
        <v>2.85</v>
      </c>
      <c r="E8" s="6" t="n">
        <v>1.12</v>
      </c>
      <c r="F8" s="6" t="n">
        <v>0.83</v>
      </c>
    </row>
    <row r="9" ht="22" customHeight="1">
      <c r="A9" s="5" t="inlineStr">
        <is>
          <t>交通运输设备制造业</t>
        </is>
      </c>
      <c r="B9" s="6" t="n">
        <v>1124.89</v>
      </c>
      <c r="C9" s="6" t="n">
        <v>3246.91</v>
      </c>
      <c r="D9" s="6" t="n"/>
      <c r="E9" s="6" t="n"/>
      <c r="F9" s="6" t="n"/>
    </row>
    <row r="10" ht="22" customHeight="1">
      <c r="A10" s="5" t="inlineStr">
        <is>
          <t>电子元器件制造业</t>
        </is>
      </c>
      <c r="B10" s="6" t="n">
        <v>164.71</v>
      </c>
      <c r="C10" s="6" t="n"/>
      <c r="D10" s="6" t="n"/>
      <c r="E10" s="6" t="n"/>
      <c r="F10" s="6" t="n"/>
    </row>
    <row r="11" ht="8" customHeight="1"/>
    <row r="12" ht="36" customHeight="1">
      <c r="A12" s="4" t="inlineStr">
        <is>
          <t>占比(%)</t>
        </is>
      </c>
      <c r="B12" s="4" t="inlineStr">
        <is>
          <t>2021</t>
        </is>
      </c>
      <c r="C12" s="4" t="inlineStr">
        <is>
          <t>2022</t>
        </is>
      </c>
      <c r="D12" s="4" t="inlineStr">
        <is>
          <t>2023</t>
        </is>
      </c>
      <c r="E12" s="4" t="inlineStr">
        <is>
          <t>2024</t>
        </is>
      </c>
      <c r="F12" s="4" t="inlineStr">
        <is>
          <t>2025</t>
        </is>
      </c>
    </row>
    <row r="13" ht="22" customHeight="1">
      <c r="A13" s="5" t="inlineStr">
        <is>
          <t>日用电子器件制造业</t>
        </is>
      </c>
      <c r="B13" s="6" t="n">
        <v>40</v>
      </c>
      <c r="C13" s="6" t="n">
        <v>23.3</v>
      </c>
      <c r="D13" s="6" t="n">
        <v>19.7</v>
      </c>
      <c r="E13" s="6" t="n">
        <v>20.5</v>
      </c>
      <c r="F13" s="6" t="n">
        <v>19.3</v>
      </c>
    </row>
    <row r="14" ht="22" customHeight="1">
      <c r="A14" s="5" t="inlineStr">
        <is>
          <t>交通运输设备及电气制造业</t>
        </is>
      </c>
      <c r="B14" s="6" t="n"/>
      <c r="C14" s="6" t="n"/>
      <c r="D14" s="6" t="n">
        <v>80.3</v>
      </c>
      <c r="E14" s="6" t="n">
        <v>79.40000000000001</v>
      </c>
      <c r="F14" s="6" t="n">
        <v>80.7</v>
      </c>
    </row>
    <row r="15" ht="22" customHeight="1">
      <c r="A15" s="5" t="inlineStr">
        <is>
          <t>其他</t>
        </is>
      </c>
      <c r="B15" s="6" t="n">
        <v>0.3</v>
      </c>
      <c r="C15" s="6" t="n">
        <v>0.1</v>
      </c>
      <c r="D15" s="6" t="n">
        <v>0</v>
      </c>
      <c r="E15" s="6" t="n">
        <v>0</v>
      </c>
      <c r="F15" s="6" t="n">
        <v>0</v>
      </c>
    </row>
    <row r="16" ht="22" customHeight="1">
      <c r="A16" s="5" t="inlineStr">
        <is>
          <t>交通运输设备制造业</t>
        </is>
      </c>
      <c r="B16" s="6" t="n">
        <v>52</v>
      </c>
      <c r="C16" s="6" t="n">
        <v>76.59999999999999</v>
      </c>
      <c r="D16" s="6" t="n"/>
      <c r="E16" s="6" t="n"/>
      <c r="F16" s="6" t="n"/>
    </row>
    <row r="17" ht="22" customHeight="1">
      <c r="A17" s="5" t="inlineStr">
        <is>
          <t>电子元器件制造业</t>
        </is>
      </c>
      <c r="B17" s="6" t="n">
        <v>7.6</v>
      </c>
      <c r="C17" s="6" t="n"/>
      <c r="D17" s="6" t="n"/>
      <c r="E17" s="6" t="n"/>
      <c r="F17" s="6" t="n"/>
    </row>
    <row r="18" ht="8" customHeight="1"/>
    <row r="37" ht="8" customHeight="1"/>
    <row r="38" ht="36" customHeight="1">
      <c r="A38" s="4" t="inlineStr">
        <is>
          <t>毛利率(%)</t>
        </is>
      </c>
      <c r="B38" s="4" t="inlineStr">
        <is>
          <t>2021</t>
        </is>
      </c>
      <c r="C38" s="4" t="inlineStr">
        <is>
          <t>2022</t>
        </is>
      </c>
      <c r="D38" s="4" t="inlineStr">
        <is>
          <t>2023</t>
        </is>
      </c>
      <c r="E38" s="4" t="inlineStr">
        <is>
          <t>2024</t>
        </is>
      </c>
      <c r="F38" s="4" t="inlineStr">
        <is>
          <t>2025</t>
        </is>
      </c>
    </row>
    <row r="39" ht="22" customHeight="1">
      <c r="A39" s="5" t="inlineStr">
        <is>
          <t>日用电子器件制造业</t>
        </is>
      </c>
      <c r="B39" s="6" t="n">
        <v>7.57</v>
      </c>
      <c r="C39" s="6" t="n">
        <v>6.06</v>
      </c>
      <c r="D39" s="6" t="n">
        <v>8.779999999999999</v>
      </c>
      <c r="E39" s="6" t="n">
        <v>8.34</v>
      </c>
      <c r="F39" s="6" t="n">
        <v>6.29</v>
      </c>
    </row>
    <row r="40" ht="22" customHeight="1">
      <c r="A40" s="5" t="inlineStr">
        <is>
          <t>交通运输设备及电气制造业</t>
        </is>
      </c>
      <c r="B40" s="6" t="n"/>
      <c r="C40" s="6" t="n"/>
      <c r="D40" s="6" t="n">
        <v>23.02</v>
      </c>
      <c r="E40" s="6" t="n">
        <v>22.31</v>
      </c>
      <c r="F40" s="6" t="n">
        <v>20.49</v>
      </c>
    </row>
    <row r="41" ht="22" customHeight="1">
      <c r="A41" s="5" t="inlineStr">
        <is>
          <t>交通运输设备制造业</t>
        </is>
      </c>
      <c r="B41" s="6" t="n">
        <v>17.39</v>
      </c>
      <c r="C41" s="6" t="n">
        <v>20.39</v>
      </c>
      <c r="D41" s="6" t="n"/>
      <c r="E41" s="6" t="n"/>
      <c r="F41" s="6" t="n"/>
    </row>
    <row r="42" ht="8" customHeight="1"/>
    <row r="62" ht="8" customHeight="1"/>
    <row r="63" ht="26" customHeight="1">
      <c r="A63" s="3" t="inlineStr">
        <is>
          <t>2. 分地区收入(亿元)</t>
        </is>
      </c>
    </row>
    <row r="64" ht="36" customHeight="1">
      <c r="A64" s="4" t="inlineStr">
        <is>
          <t>地区(亿元)</t>
        </is>
      </c>
      <c r="B64" s="4" t="inlineStr">
        <is>
          <t>2021</t>
        </is>
      </c>
      <c r="C64" s="4" t="inlineStr">
        <is>
          <t>2022</t>
        </is>
      </c>
      <c r="D64" s="4" t="inlineStr">
        <is>
          <t>2023</t>
        </is>
      </c>
      <c r="E64" s="4" t="inlineStr">
        <is>
          <t>2024</t>
        </is>
      </c>
      <c r="F64" s="4" t="inlineStr">
        <is>
          <t>2025</t>
        </is>
      </c>
    </row>
    <row r="65" ht="22" customHeight="1">
      <c r="A65" s="5" t="inlineStr">
        <is>
          <t>中国(包括港澳台地区)</t>
        </is>
      </c>
      <c r="B65" s="6" t="n"/>
      <c r="C65" s="6" t="n"/>
      <c r="D65" s="6" t="n"/>
      <c r="E65" s="6" t="n"/>
      <c r="F65" s="6" t="n">
        <v>4932.24</v>
      </c>
    </row>
    <row r="66" ht="22" customHeight="1">
      <c r="A66" s="5" t="inlineStr">
        <is>
          <t>境外</t>
        </is>
      </c>
      <c r="B66" s="6" t="n">
        <v>639.0700000000001</v>
      </c>
      <c r="C66" s="6" t="n">
        <v>914.53</v>
      </c>
      <c r="D66" s="6" t="n">
        <v>1602.21</v>
      </c>
      <c r="E66" s="6" t="n">
        <v>2218.85</v>
      </c>
      <c r="F66" s="6" t="n">
        <v>3107.41</v>
      </c>
    </row>
    <row r="67" ht="22" customHeight="1">
      <c r="A67" s="5" t="inlineStr">
        <is>
          <t>中国（包括港澳台地区）</t>
        </is>
      </c>
      <c r="B67" s="6" t="n">
        <v>1522.35</v>
      </c>
      <c r="C67" s="6" t="n">
        <v>3326.07</v>
      </c>
      <c r="D67" s="6" t="n">
        <v>4420.94</v>
      </c>
      <c r="E67" s="6" t="n">
        <v>5552.18</v>
      </c>
      <c r="F67" s="6" t="n"/>
    </row>
    <row r="68" ht="8" customHeight="1"/>
    <row r="88" ht="8" customHeight="1"/>
    <row r="89" ht="26" customHeight="1">
      <c r="A89" s="3" t="inlineStr">
        <is>
          <t>3. 前五大客户/供应商集中度(%)</t>
        </is>
      </c>
    </row>
    <row r="90" ht="36" customHeight="1">
      <c r="A90" s="4" t="inlineStr">
        <is>
          <t>年份</t>
        </is>
      </c>
      <c r="B90" s="4" t="inlineStr">
        <is>
          <t>2021</t>
        </is>
      </c>
      <c r="C90" s="4" t="inlineStr">
        <is>
          <t>2022</t>
        </is>
      </c>
      <c r="D90" s="4" t="inlineStr">
        <is>
          <t>2023</t>
        </is>
      </c>
      <c r="E90" s="4" t="inlineStr">
        <is>
          <t>2024</t>
        </is>
      </c>
      <c r="F90" s="4" t="inlineStr">
        <is>
          <t>2025</t>
        </is>
      </c>
    </row>
    <row r="91" ht="22" customHeight="1">
      <c r="A91" s="5" t="inlineStr">
        <is>
          <t>前五大客户占比(%)</t>
        </is>
      </c>
      <c r="B91" s="6" t="n">
        <v>33</v>
      </c>
      <c r="C91" s="6" t="n">
        <v>18.86</v>
      </c>
      <c r="D91" s="6" t="n">
        <v>17.34</v>
      </c>
      <c r="E91" s="6" t="n">
        <v>18.35</v>
      </c>
      <c r="F91" s="6" t="n">
        <v>18.12</v>
      </c>
    </row>
    <row r="92" ht="22" customHeight="1">
      <c r="A92" s="5" t="inlineStr">
        <is>
          <t>前五大供应商占比(%)</t>
        </is>
      </c>
      <c r="B92" s="6" t="n">
        <v>28.41</v>
      </c>
      <c r="C92" s="6" t="n">
        <v>22.08</v>
      </c>
      <c r="D92" s="6" t="n">
        <v>20.17</v>
      </c>
      <c r="E92" s="6" t="n">
        <v>16.92</v>
      </c>
      <c r="F92" s="6" t="n">
        <v>15.31</v>
      </c>
    </row>
    <row r="93" ht="8" customHeight="1"/>
    <row r="112" ht="8" customHeight="1"/>
    <row r="113" ht="36" customHeight="1">
      <c r="A113" s="4" t="inlineStr">
        <is>
          <t>类别</t>
        </is>
      </c>
      <c r="B113" s="4" t="inlineStr">
        <is>
          <t>2025年客户</t>
        </is>
      </c>
      <c r="C113" s="4" t="inlineStr">
        <is>
          <t>2025年供应商</t>
        </is>
      </c>
    </row>
    <row r="114" ht="22" customHeight="1">
      <c r="A114" s="5" t="inlineStr">
        <is>
          <t>前五大</t>
        </is>
      </c>
      <c r="B114" s="6" t="n">
        <v>18.12</v>
      </c>
      <c r="C114" s="6" t="n">
        <v>15.31</v>
      </c>
    </row>
    <row r="115" ht="22" customHeight="1">
      <c r="A115" s="5" t="inlineStr">
        <is>
          <t>其他</t>
        </is>
      </c>
      <c r="B115" s="6" t="n">
        <v>81.88</v>
      </c>
      <c r="C115" s="6" t="n">
        <v>84.69</v>
      </c>
    </row>
    <row r="136" ht="8" customHeight="1"/>
    <row r="137" ht="26" customHeight="1">
      <c r="A137" s="3" t="inlineStr">
        <is>
          <t>4. 员工规模与结构</t>
        </is>
      </c>
    </row>
    <row r="138" ht="36" customHeight="1">
      <c r="A138" s="4" t="inlineStr">
        <is>
          <t>指标</t>
        </is>
      </c>
      <c r="B138" s="4" t="inlineStr">
        <is>
          <t>2021</t>
        </is>
      </c>
      <c r="C138" s="4" t="inlineStr">
        <is>
          <t>2022</t>
        </is>
      </c>
      <c r="D138" s="4" t="inlineStr">
        <is>
          <t>2023</t>
        </is>
      </c>
      <c r="E138" s="4" t="inlineStr">
        <is>
          <t>2024</t>
        </is>
      </c>
      <c r="F138" s="4" t="inlineStr">
        <is>
          <t>2025</t>
        </is>
      </c>
    </row>
    <row r="139" ht="22" customHeight="1">
      <c r="A139" s="5" t="inlineStr">
        <is>
          <t>员工总数(万人)</t>
        </is>
      </c>
      <c r="B139" s="6" t="n">
        <v>28.82</v>
      </c>
      <c r="C139" s="6" t="n">
        <v>57.01</v>
      </c>
      <c r="D139" s="6" t="n">
        <v>70.34999999999999</v>
      </c>
      <c r="E139" s="6" t="n">
        <v>96.89</v>
      </c>
      <c r="F139" s="6" t="n">
        <v>86.95999999999999</v>
      </c>
    </row>
    <row r="140" ht="22" customHeight="1">
      <c r="A140" s="5" t="inlineStr">
        <is>
          <t>技术/研发人员(万人)</t>
        </is>
      </c>
      <c r="B140" s="6" t="n">
        <v>4.43</v>
      </c>
      <c r="C140" s="6" t="n">
        <v>7.6</v>
      </c>
      <c r="D140" s="6" t="n">
        <v>10.4</v>
      </c>
      <c r="E140" s="6" t="n">
        <v>12.29</v>
      </c>
      <c r="F140" s="6" t="n">
        <v>12.77</v>
      </c>
    </row>
    <row r="141" ht="22" customHeight="1">
      <c r="A141" s="5" t="inlineStr">
        <is>
          <t>技术/研发占比(%)</t>
        </is>
      </c>
      <c r="B141" s="6" t="n">
        <v>15.38</v>
      </c>
      <c r="C141" s="6" t="n">
        <v>13.33</v>
      </c>
      <c r="D141" s="6" t="n">
        <v>14.78</v>
      </c>
      <c r="E141" s="6" t="n">
        <v>12.69</v>
      </c>
      <c r="F141" s="6" t="n">
        <v>14.68</v>
      </c>
    </row>
    <row r="142" ht="22" customHeight="1">
      <c r="A142" s="5" t="inlineStr">
        <is>
          <t>当年净增(万人)</t>
        </is>
      </c>
      <c r="B142" s="6" t="n"/>
      <c r="C142" s="6" t="n">
        <v>28.19</v>
      </c>
      <c r="D142" s="6" t="n">
        <v>13.34</v>
      </c>
      <c r="E142" s="6" t="n">
        <v>26.54</v>
      </c>
      <c r="F142" s="6" t="n">
        <v>-9.93</v>
      </c>
    </row>
    <row r="143" ht="8" customHeight="1"/>
    <row r="162" ht="8" customHeight="1"/>
    <row r="163" ht="36" customHeight="1">
      <c r="A163" s="4" t="inlineStr">
        <is>
          <t>2025年专业构成</t>
        </is>
      </c>
      <c r="B163" s="4" t="inlineStr">
        <is>
          <t>人数(人)</t>
        </is>
      </c>
      <c r="C163" s="4" t="inlineStr">
        <is>
          <t>占比(%)</t>
        </is>
      </c>
    </row>
    <row r="164" ht="22" customHeight="1">
      <c r="A164" s="5" t="inlineStr">
        <is>
          <t>生产人员</t>
        </is>
      </c>
      <c r="B164" s="6" t="n">
        <v>665812</v>
      </c>
      <c r="C164" s="6" t="n">
        <v>76.56</v>
      </c>
    </row>
    <row r="165" ht="22" customHeight="1">
      <c r="A165" s="5" t="inlineStr">
        <is>
          <t>销售人员</t>
        </is>
      </c>
      <c r="B165" s="6" t="n">
        <v>40348</v>
      </c>
      <c r="C165" s="6" t="n">
        <v>4.64</v>
      </c>
    </row>
    <row r="166" ht="22" customHeight="1">
      <c r="A166" s="5" t="inlineStr">
        <is>
          <t>技术人员</t>
        </is>
      </c>
      <c r="B166" s="6" t="n">
        <v>127665</v>
      </c>
      <c r="C166" s="6" t="n">
        <v>14.68</v>
      </c>
    </row>
    <row r="167" ht="22" customHeight="1">
      <c r="A167" s="5" t="inlineStr">
        <is>
          <t>财务人员</t>
        </is>
      </c>
      <c r="B167" s="6" t="n">
        <v>2075</v>
      </c>
      <c r="C167" s="6" t="n">
        <v>0.24</v>
      </c>
    </row>
    <row r="168" ht="22" customHeight="1">
      <c r="A168" s="5" t="inlineStr">
        <is>
          <t>行政人员</t>
        </is>
      </c>
      <c r="B168" s="6" t="n">
        <v>33722</v>
      </c>
      <c r="C168" s="6" t="n">
        <v>3.88</v>
      </c>
    </row>
  </sheetData>
  <mergeCells count="6">
    <mergeCell ref="A2:F2"/>
    <mergeCell ref="A63:F63"/>
    <mergeCell ref="A137:F137"/>
    <mergeCell ref="A1:F1"/>
    <mergeCell ref="A89:F89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30" customHeight="1">
      <c r="A1" s="1" t="inlineStr">
        <is>
          <t>比亚迪 2021-2025 现金流(C 类)</t>
        </is>
      </c>
    </row>
    <row r="2" ht="22" customHeight="1">
      <c r="A2" s="2" t="inlineStr">
        <is>
          <t>数据源:2022.json, 2023.json, 2024.json, 2025.json    |    金额单位:亿元    |    比率/分红率:%    |    OCF/净利:倍数</t>
        </is>
      </c>
    </row>
    <row r="3" ht="8" customHeight="1"/>
    <row r="4" ht="26" customHeight="1">
      <c r="A4" s="3" t="inlineStr">
        <is>
          <t>1. 三类现金流(经营 / 投资 / 筹资,亿元)</t>
        </is>
      </c>
    </row>
    <row r="5" ht="36" customHeight="1">
      <c r="A5" s="4" t="inlineStr">
        <is>
          <t>现金流类别(亿元)</t>
        </is>
      </c>
      <c r="B5" s="4" t="inlineStr">
        <is>
          <t>2021</t>
        </is>
      </c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2025</t>
        </is>
      </c>
    </row>
    <row r="6" ht="22" customHeight="1">
      <c r="A6" s="5" t="inlineStr">
        <is>
          <t>经营活动现金流净额</t>
        </is>
      </c>
      <c r="B6" s="6" t="n">
        <v>654.67</v>
      </c>
      <c r="C6" s="6" t="n">
        <v>1408.38</v>
      </c>
      <c r="D6" s="6" t="n">
        <v>1697.25</v>
      </c>
      <c r="E6" s="6" t="n">
        <v>1334.54</v>
      </c>
      <c r="F6" s="6" t="n">
        <v>591.36</v>
      </c>
    </row>
    <row r="7" ht="22" customHeight="1">
      <c r="A7" s="5" t="inlineStr">
        <is>
          <t>投资活动现金流净额</t>
        </is>
      </c>
      <c r="B7" s="6" t="n">
        <v>-454.04</v>
      </c>
      <c r="C7" s="6" t="n">
        <v>-1205.96</v>
      </c>
      <c r="D7" s="6" t="n">
        <v>-1256.64</v>
      </c>
      <c r="E7" s="6" t="n">
        <v>-1290.82</v>
      </c>
      <c r="F7" s="6" t="n">
        <v>-1974.63</v>
      </c>
    </row>
    <row r="8" ht="22" customHeight="1">
      <c r="A8" s="5" t="inlineStr">
        <is>
          <t>筹资活动现金流净额</t>
        </is>
      </c>
      <c r="B8" s="6" t="n">
        <v>160.63</v>
      </c>
      <c r="C8" s="6" t="n">
        <v>-194.89</v>
      </c>
      <c r="D8" s="6" t="n">
        <v>128.17</v>
      </c>
      <c r="E8" s="6" t="n">
        <v>-102.68</v>
      </c>
      <c r="F8" s="6" t="n">
        <v>1046.14</v>
      </c>
    </row>
    <row r="9" ht="8" customHeight="1"/>
    <row r="29" ht="8" customHeight="1"/>
    <row r="30" ht="26" customHeight="1">
      <c r="A30" s="3" t="inlineStr">
        <is>
          <t>2. 经营现金流 vs 净利润(盈利质量校验)</t>
        </is>
      </c>
    </row>
    <row r="31" ht="36" customHeight="1">
      <c r="A31" s="4" t="inlineStr">
        <is>
          <t>指标</t>
        </is>
      </c>
      <c r="B31" s="4" t="inlineStr">
        <is>
          <t>2021</t>
        </is>
      </c>
      <c r="C31" s="4" t="inlineStr">
        <is>
          <t>2022</t>
        </is>
      </c>
      <c r="D31" s="4" t="inlineStr">
        <is>
          <t>2023</t>
        </is>
      </c>
      <c r="E31" s="4" t="inlineStr">
        <is>
          <t>2024</t>
        </is>
      </c>
      <c r="F31" s="4" t="inlineStr">
        <is>
          <t>2025</t>
        </is>
      </c>
    </row>
    <row r="32" ht="22" customHeight="1">
      <c r="A32" s="5" t="inlineStr">
        <is>
          <t>经营活动现金流净额(亿元)</t>
        </is>
      </c>
      <c r="B32" s="6" t="n">
        <v>654.67</v>
      </c>
      <c r="C32" s="6" t="n">
        <v>1408.38</v>
      </c>
      <c r="D32" s="6" t="n">
        <v>1697.25</v>
      </c>
      <c r="E32" s="6" t="n">
        <v>1334.54</v>
      </c>
      <c r="F32" s="6" t="n">
        <v>591.36</v>
      </c>
    </row>
    <row r="33" ht="22" customHeight="1">
      <c r="A33" s="5" t="inlineStr">
        <is>
          <t>净利润(亿元)</t>
        </is>
      </c>
      <c r="B33" s="6" t="n">
        <v>39.67</v>
      </c>
      <c r="C33" s="6" t="n">
        <v>177.13</v>
      </c>
      <c r="D33" s="6" t="n">
        <v>313.44</v>
      </c>
      <c r="E33" s="6" t="n">
        <v>415.88</v>
      </c>
      <c r="F33" s="6" t="n">
        <v>337.61</v>
      </c>
    </row>
    <row r="34" ht="22" customHeight="1">
      <c r="A34" s="5" t="inlineStr">
        <is>
          <t>OCF / 净利润 (倍数)</t>
        </is>
      </c>
      <c r="B34" s="6" t="n">
        <v>16.5</v>
      </c>
      <c r="C34" s="6" t="n">
        <v>7.95</v>
      </c>
      <c r="D34" s="6" t="n">
        <v>5.41</v>
      </c>
      <c r="E34" s="6" t="n">
        <v>3.21</v>
      </c>
      <c r="F34" s="6" t="n">
        <v>1.75</v>
      </c>
    </row>
    <row r="35" ht="8" customHeight="1"/>
    <row r="55" ht="8" customHeight="1"/>
    <row r="56" ht="26" customHeight="1">
      <c r="A56" s="3" t="inlineStr">
        <is>
          <t>3. 资本开支 Capex(投入强度)</t>
        </is>
      </c>
    </row>
    <row r="57" ht="36" customHeight="1">
      <c r="A57" s="4" t="inlineStr">
        <is>
          <t>指标</t>
        </is>
      </c>
      <c r="B57" s="4" t="inlineStr">
        <is>
          <t>2021</t>
        </is>
      </c>
      <c r="C57" s="4" t="inlineStr">
        <is>
          <t>2022</t>
        </is>
      </c>
      <c r="D57" s="4" t="inlineStr">
        <is>
          <t>2023</t>
        </is>
      </c>
      <c r="E57" s="4" t="inlineStr">
        <is>
          <t>2024</t>
        </is>
      </c>
      <c r="F57" s="4" t="inlineStr">
        <is>
          <t>2025</t>
        </is>
      </c>
    </row>
    <row r="58" ht="22" customHeight="1">
      <c r="A58" s="5" t="inlineStr">
        <is>
          <t>Capex(亿元)</t>
        </is>
      </c>
      <c r="B58" s="6" t="n">
        <v>373.44</v>
      </c>
      <c r="C58" s="6" t="n">
        <v>974.5700000000001</v>
      </c>
      <c r="D58" s="6" t="n">
        <v>1220.94</v>
      </c>
      <c r="E58" s="6" t="n">
        <v>973.6</v>
      </c>
      <c r="F58" s="6" t="n">
        <v>1568.08</v>
      </c>
    </row>
    <row r="59" ht="22" customHeight="1">
      <c r="A59" s="5" t="inlineStr">
        <is>
          <t>Capex / 营收 (%)</t>
        </is>
      </c>
      <c r="B59" s="6" t="n">
        <v>17.28</v>
      </c>
      <c r="C59" s="6" t="n">
        <v>22.98</v>
      </c>
      <c r="D59" s="6" t="n">
        <v>20.27</v>
      </c>
      <c r="E59" s="6" t="n">
        <v>12.53</v>
      </c>
      <c r="F59" s="6" t="n">
        <v>19.5</v>
      </c>
    </row>
    <row r="60" ht="8" customHeight="1"/>
    <row r="80" ht="8" customHeight="1"/>
    <row r="81" ht="26" customHeight="1">
      <c r="A81" s="3" t="inlineStr">
        <is>
          <t>4. 自由现金流 FCF = OCF − Capex(真实可分配现金)</t>
        </is>
      </c>
    </row>
    <row r="82" ht="36" customHeight="1">
      <c r="A82" s="4" t="inlineStr">
        <is>
          <t>指标</t>
        </is>
      </c>
      <c r="B82" s="4" t="inlineStr">
        <is>
          <t>2021</t>
        </is>
      </c>
      <c r="C82" s="4" t="inlineStr">
        <is>
          <t>2022</t>
        </is>
      </c>
      <c r="D82" s="4" t="inlineStr">
        <is>
          <t>2023</t>
        </is>
      </c>
      <c r="E82" s="4" t="inlineStr">
        <is>
          <t>2024</t>
        </is>
      </c>
      <c r="F82" s="4" t="inlineStr">
        <is>
          <t>2025</t>
        </is>
      </c>
    </row>
    <row r="83" ht="22" customHeight="1">
      <c r="A83" s="5" t="inlineStr">
        <is>
          <t>FCF(亿元)</t>
        </is>
      </c>
      <c r="B83" s="6" t="n">
        <v>281.23</v>
      </c>
      <c r="C83" s="6" t="n">
        <v>433.81</v>
      </c>
      <c r="D83" s="6" t="n">
        <v>476.32</v>
      </c>
      <c r="E83" s="6" t="n">
        <v>360.94</v>
      </c>
      <c r="F83" s="6" t="n">
        <v>-976.72</v>
      </c>
    </row>
    <row r="84" ht="22" customHeight="1">
      <c r="A84" s="5" t="inlineStr">
        <is>
          <t>FCF / 营收 (%)</t>
        </is>
      </c>
      <c r="B84" s="6" t="n">
        <v>13.01</v>
      </c>
      <c r="C84" s="6" t="n">
        <v>10.23</v>
      </c>
      <c r="D84" s="6" t="n">
        <v>7.91</v>
      </c>
      <c r="E84" s="6" t="n">
        <v>4.64</v>
      </c>
      <c r="F84" s="6" t="n">
        <v>-12.15</v>
      </c>
    </row>
    <row r="85" ht="8" customHeight="1"/>
    <row r="105" ht="8" customHeight="1"/>
    <row r="106" ht="26" customHeight="1">
      <c r="A106" s="3" t="inlineStr">
        <is>
          <t>5. 股东回报(现金分红+利息支付 / 股份回购)</t>
        </is>
      </c>
    </row>
    <row r="107" ht="36" customHeight="1">
      <c r="A107" s="4" t="inlineStr">
        <is>
          <t>项目(亿元)</t>
        </is>
      </c>
      <c r="B107" s="4" t="inlineStr">
        <is>
          <t>2021</t>
        </is>
      </c>
      <c r="C107" s="4" t="inlineStr">
        <is>
          <t>2022</t>
        </is>
      </c>
      <c r="D107" s="4" t="inlineStr">
        <is>
          <t>2023</t>
        </is>
      </c>
      <c r="E107" s="4" t="inlineStr">
        <is>
          <t>2024</t>
        </is>
      </c>
      <c r="F107" s="4" t="inlineStr">
        <is>
          <t>2025</t>
        </is>
      </c>
    </row>
    <row r="108" ht="22" customHeight="1">
      <c r="A108" s="5" t="inlineStr">
        <is>
          <t>分配股利、利息支付现金</t>
        </is>
      </c>
      <c r="B108" s="6" t="n">
        <v>26.19</v>
      </c>
      <c r="C108" s="6" t="n">
        <v>16.33</v>
      </c>
      <c r="D108" s="6" t="n">
        <v>41.02</v>
      </c>
      <c r="E108" s="6" t="n">
        <v>100.51</v>
      </c>
      <c r="F108" s="6" t="n">
        <v>141.25</v>
      </c>
    </row>
    <row r="109" ht="22" customHeight="1">
      <c r="A109" s="5" t="inlineStr">
        <is>
          <t>股份回购支付现金</t>
        </is>
      </c>
      <c r="B109" s="6" t="n"/>
      <c r="C109" s="6" t="n">
        <v>0</v>
      </c>
      <c r="D109" s="6" t="n">
        <v>0</v>
      </c>
      <c r="E109" s="6" t="n">
        <v>4</v>
      </c>
      <c r="F109" s="6" t="n">
        <v>0</v>
      </c>
    </row>
    <row r="110" ht="22" customHeight="1">
      <c r="A110" s="5" t="inlineStr">
        <is>
          <t>分红率 = 分红+利息 / 净利 (%)</t>
        </is>
      </c>
      <c r="B110" s="6" t="n">
        <v>66.02</v>
      </c>
      <c r="C110" s="6" t="n">
        <v>9.220000000000001</v>
      </c>
      <c r="D110" s="6" t="n">
        <v>13.09</v>
      </c>
      <c r="E110" s="6" t="n">
        <v>24.17</v>
      </c>
      <c r="F110" s="6" t="n">
        <v>41.84</v>
      </c>
    </row>
    <row r="111" ht="8" customHeight="1"/>
    <row r="131" ht="8" customHeight="1"/>
    <row r="132" ht="26" customHeight="1">
      <c r="A132" s="3" t="inlineStr">
        <is>
          <t>6. 现金储备(期末余额 + 当年净增减)</t>
        </is>
      </c>
    </row>
    <row r="133" ht="36" customHeight="1">
      <c r="A133" s="4" t="inlineStr">
        <is>
          <t>指标(亿元)</t>
        </is>
      </c>
      <c r="B133" s="4" t="inlineStr">
        <is>
          <t>2021</t>
        </is>
      </c>
      <c r="C133" s="4" t="inlineStr">
        <is>
          <t>2022</t>
        </is>
      </c>
      <c r="D133" s="4" t="inlineStr">
        <is>
          <t>2023</t>
        </is>
      </c>
      <c r="E133" s="4" t="inlineStr">
        <is>
          <t>2024</t>
        </is>
      </c>
      <c r="F133" s="4" t="inlineStr">
        <is>
          <t>2025</t>
        </is>
      </c>
    </row>
    <row r="134" ht="22" customHeight="1">
      <c r="A134" s="5" t="inlineStr">
        <is>
          <t>期末现金及等价物余额</t>
        </is>
      </c>
      <c r="B134" s="6" t="n">
        <v>498.2</v>
      </c>
      <c r="C134" s="6" t="n">
        <v>511.82</v>
      </c>
      <c r="D134" s="6" t="n">
        <v>1085.12</v>
      </c>
      <c r="E134" s="6" t="n">
        <v>1022.57</v>
      </c>
      <c r="F134" s="6" t="n">
        <v>683.95</v>
      </c>
    </row>
    <row r="135" ht="22" customHeight="1">
      <c r="A135" s="5" t="inlineStr">
        <is>
          <t>当年现金净增加额</t>
        </is>
      </c>
      <c r="B135" s="6" t="n">
        <v>360.81</v>
      </c>
      <c r="C135" s="6" t="n">
        <v>13.63</v>
      </c>
      <c r="D135" s="6" t="n">
        <v>573.29</v>
      </c>
      <c r="E135" s="6" t="n">
        <v>-62.55</v>
      </c>
      <c r="F135" s="6" t="n">
        <v>-338.61</v>
      </c>
    </row>
    <row r="136" ht="8" customHeight="1"/>
  </sheetData>
  <mergeCells count="8">
    <mergeCell ref="A2:F2"/>
    <mergeCell ref="A1:F1"/>
    <mergeCell ref="A132:F132"/>
    <mergeCell ref="A106:F106"/>
    <mergeCell ref="A56:F56"/>
    <mergeCell ref="A4:F4"/>
    <mergeCell ref="A30:F30"/>
    <mergeCell ref="A81:F8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比亚迪 2021-2025年末 资产负债表(D 类)</t>
        </is>
      </c>
      <c r="J1" s="7" t="inlineStr">
        <is>
          <t>原始数据(全精度,单位:千元)</t>
        </is>
      </c>
    </row>
    <row r="2" ht="36" customHeight="1">
      <c r="A2" s="2" t="inlineStr">
        <is>
          <t>数据源:2022.json, 2023.json, 2024.json, 2025.json    |    金额单位:亿元    |    比率:%    |    周转:天</t>
        </is>
      </c>
      <c r="J2" s="4" t="inlineStr">
        <is>
          <t>科目</t>
        </is>
      </c>
      <c r="K2" s="4" t="inlineStr">
        <is>
          <t>2021年末</t>
        </is>
      </c>
      <c r="L2" s="4" t="inlineStr">
        <is>
          <t>2022年末</t>
        </is>
      </c>
      <c r="M2" s="4" t="inlineStr">
        <is>
          <t>2023年末</t>
        </is>
      </c>
      <c r="N2" s="4" t="inlineStr">
        <is>
          <t>2024年末</t>
        </is>
      </c>
      <c r="O2" s="4" t="inlineStr">
        <is>
          <t>2025年末</t>
        </is>
      </c>
    </row>
    <row r="3" ht="22" customHeight="1">
      <c r="J3" s="5" t="inlineStr">
        <is>
          <t>货币资金</t>
        </is>
      </c>
      <c r="K3" s="6" t="n">
        <v>50457097</v>
      </c>
      <c r="L3" s="6" t="n">
        <v>51471263</v>
      </c>
      <c r="M3" s="6" t="n">
        <v>109094408</v>
      </c>
      <c r="N3" s="6" t="n">
        <v>102738734</v>
      </c>
      <c r="O3" s="6" t="n">
        <v>75424747</v>
      </c>
    </row>
    <row r="4" ht="22" customHeight="1">
      <c r="A4" s="3" t="inlineStr">
        <is>
          <t>1. 资产 / 负债 / 所有者权益(亿元)</t>
        </is>
      </c>
      <c r="J4" s="5" t="inlineStr">
        <is>
          <t>应收账款</t>
        </is>
      </c>
      <c r="K4" s="6" t="n">
        <v>36251280</v>
      </c>
      <c r="L4" s="6" t="n">
        <v>38828494</v>
      </c>
      <c r="M4" s="6" t="n">
        <v>61866019</v>
      </c>
      <c r="N4" s="6" t="n">
        <v>62298988</v>
      </c>
      <c r="O4" s="6" t="n">
        <v>37004685</v>
      </c>
    </row>
    <row r="5" ht="22" customHeight="1">
      <c r="A5" s="4" t="inlineStr">
        <is>
          <t>科目(亿元)</t>
        </is>
      </c>
      <c r="B5" s="4" t="inlineStr">
        <is>
          <t>2021末</t>
        </is>
      </c>
      <c r="C5" s="4" t="inlineStr">
        <is>
          <t>2022末</t>
        </is>
      </c>
      <c r="D5" s="4" t="inlineStr">
        <is>
          <t>2023末</t>
        </is>
      </c>
      <c r="E5" s="4" t="inlineStr">
        <is>
          <t>2024末</t>
        </is>
      </c>
      <c r="F5" s="4" t="inlineStr">
        <is>
          <t>2025末</t>
        </is>
      </c>
      <c r="J5" s="5" t="inlineStr">
        <is>
          <t>存货</t>
        </is>
      </c>
      <c r="K5" s="6" t="n">
        <v>43354782</v>
      </c>
      <c r="L5" s="6" t="n">
        <v>79107199</v>
      </c>
      <c r="M5" s="6" t="n">
        <v>87676748</v>
      </c>
      <c r="N5" s="6" t="n">
        <v>116036237</v>
      </c>
      <c r="O5" s="6" t="n">
        <v>138420580</v>
      </c>
    </row>
    <row r="6" ht="22" customHeight="1">
      <c r="A6" s="5" t="inlineStr">
        <is>
          <t>总资产</t>
        </is>
      </c>
      <c r="B6" s="6" t="n">
        <v>2957.8</v>
      </c>
      <c r="C6" s="6" t="n">
        <v>4938.61</v>
      </c>
      <c r="D6" s="6" t="n">
        <v>6795.48</v>
      </c>
      <c r="E6" s="6" t="n">
        <v>7833.56</v>
      </c>
      <c r="F6" s="6" t="n">
        <v>8837.299999999999</v>
      </c>
      <c r="J6" s="5" t="inlineStr">
        <is>
          <t>流动资产合计</t>
        </is>
      </c>
      <c r="K6" s="6" t="n">
        <v>166110189</v>
      </c>
      <c r="L6" s="6" t="n">
        <v>240803507</v>
      </c>
      <c r="M6" s="6" t="n">
        <v>302121446</v>
      </c>
      <c r="N6" s="6" t="n">
        <v>370572244</v>
      </c>
      <c r="O6" s="6" t="n">
        <v>371467558</v>
      </c>
    </row>
    <row r="7" ht="22" customHeight="1">
      <c r="A7" s="5" t="inlineStr">
        <is>
          <t>总负债</t>
        </is>
      </c>
      <c r="B7" s="6" t="n">
        <v>1915.36</v>
      </c>
      <c r="C7" s="6" t="n">
        <v>3724.71</v>
      </c>
      <c r="D7" s="6" t="n">
        <v>5290.86</v>
      </c>
      <c r="E7" s="6" t="n">
        <v>5846.68</v>
      </c>
      <c r="F7" s="6" t="n">
        <v>6251.91</v>
      </c>
      <c r="J7" s="5" t="inlineStr">
        <is>
          <t>固定资产</t>
        </is>
      </c>
      <c r="K7" s="6" t="n">
        <v>61221365</v>
      </c>
      <c r="L7" s="6" t="n">
        <v>131880369</v>
      </c>
      <c r="M7" s="6" t="n">
        <v>230903820</v>
      </c>
      <c r="N7" s="6" t="n">
        <v>262287302</v>
      </c>
      <c r="O7" s="6" t="n">
        <v>292775929</v>
      </c>
    </row>
    <row r="8" ht="22" customHeight="1">
      <c r="A8" s="5" t="inlineStr">
        <is>
          <t>所有者权益(合计)</t>
        </is>
      </c>
      <c r="B8" s="6" t="n">
        <v>1042.44</v>
      </c>
      <c r="C8" s="6" t="n">
        <v>1213.9</v>
      </c>
      <c r="D8" s="6" t="n">
        <v>1504.62</v>
      </c>
      <c r="E8" s="6" t="n">
        <v>1986.88</v>
      </c>
      <c r="F8" s="6" t="n">
        <v>2585.39</v>
      </c>
      <c r="J8" s="5" t="inlineStr">
        <is>
          <t>在建工程</t>
        </is>
      </c>
      <c r="K8" s="6" t="n">
        <v>20277309</v>
      </c>
      <c r="L8" s="6" t="n">
        <v>44621935</v>
      </c>
      <c r="M8" s="6" t="n">
        <v>34726196</v>
      </c>
      <c r="N8" s="6" t="n">
        <v>19954343</v>
      </c>
      <c r="O8" s="6" t="n">
        <v>48293781</v>
      </c>
    </row>
    <row r="9" ht="22" customHeight="1">
      <c r="A9" s="5" t="inlineStr">
        <is>
          <t>资产负债率(%)</t>
        </is>
      </c>
      <c r="B9" s="6" t="n">
        <v>64.76000000000001</v>
      </c>
      <c r="C9" s="6" t="n">
        <v>75.42</v>
      </c>
      <c r="D9" s="6" t="n">
        <v>77.86</v>
      </c>
      <c r="E9" s="6" t="n">
        <v>74.64</v>
      </c>
      <c r="F9" s="6" t="n">
        <v>70.73999999999999</v>
      </c>
      <c r="J9" s="5" t="inlineStr">
        <is>
          <t>商誉</t>
        </is>
      </c>
      <c r="K9" s="6" t="n">
        <v>65914</v>
      </c>
      <c r="L9" s="6" t="n">
        <v>65914</v>
      </c>
      <c r="M9" s="6" t="n">
        <v>4427571</v>
      </c>
      <c r="N9" s="6" t="n">
        <v>4427571</v>
      </c>
      <c r="O9" s="6" t="n">
        <v>4427571</v>
      </c>
    </row>
    <row r="10" ht="22" customHeight="1">
      <c r="J10" s="5" t="inlineStr">
        <is>
          <t>资产总计</t>
        </is>
      </c>
      <c r="K10" s="6" t="n">
        <v>295780147</v>
      </c>
      <c r="L10" s="6" t="n">
        <v>493860646</v>
      </c>
      <c r="M10" s="6" t="n">
        <v>679547670</v>
      </c>
      <c r="N10" s="6" t="n">
        <v>783355855</v>
      </c>
      <c r="O10" s="6" t="n">
        <v>883729883</v>
      </c>
    </row>
    <row r="11" ht="22" customHeight="1">
      <c r="J11" s="5" t="inlineStr">
        <is>
          <t>短期借款</t>
        </is>
      </c>
      <c r="K11" s="6" t="n">
        <v>10204358</v>
      </c>
      <c r="L11" s="6" t="n">
        <v>5153098</v>
      </c>
      <c r="M11" s="6" t="n">
        <v>18323216</v>
      </c>
      <c r="N11" s="6" t="n">
        <v>12103272</v>
      </c>
      <c r="O11" s="6" t="n">
        <v>38484710</v>
      </c>
    </row>
    <row r="12" ht="22" customHeight="1">
      <c r="J12" s="5" t="inlineStr">
        <is>
          <t>应付票据</t>
        </is>
      </c>
      <c r="K12" s="6" t="n">
        <v>7331459</v>
      </c>
      <c r="L12" s="6" t="n">
        <v>3328419</v>
      </c>
      <c r="M12" s="6" t="n">
        <v>4053314</v>
      </c>
      <c r="N12" s="6" t="n">
        <v>2383996</v>
      </c>
      <c r="O12" s="6" t="n">
        <v>22463883</v>
      </c>
    </row>
    <row r="13" ht="22" customHeight="1">
      <c r="J13" s="5" t="inlineStr">
        <is>
          <t>应付账款</t>
        </is>
      </c>
      <c r="K13" s="6" t="n">
        <v>73160167</v>
      </c>
      <c r="L13" s="6" t="n">
        <v>140437310</v>
      </c>
      <c r="M13" s="6" t="n">
        <v>194429817</v>
      </c>
      <c r="N13" s="6" t="n">
        <v>241643424</v>
      </c>
      <c r="O13" s="6" t="n">
        <v>186742375</v>
      </c>
    </row>
    <row r="14" ht="22" customHeight="1">
      <c r="J14" s="5" t="inlineStr">
        <is>
          <t>一年内到期非流动负债</t>
        </is>
      </c>
      <c r="K14" s="6" t="n">
        <v>12983416</v>
      </c>
      <c r="L14" s="6" t="n">
        <v>6464828</v>
      </c>
      <c r="M14" s="6" t="n">
        <v>7740491</v>
      </c>
      <c r="N14" s="6" t="n">
        <v>10222575</v>
      </c>
      <c r="O14" s="6" t="n">
        <v>6311964</v>
      </c>
    </row>
    <row r="15" ht="22" customHeight="1">
      <c r="J15" s="5" t="inlineStr">
        <is>
          <t>流动负债合计</t>
        </is>
      </c>
      <c r="K15" s="6" t="n">
        <v>171303944</v>
      </c>
      <c r="L15" s="6" t="n">
        <v>333344561</v>
      </c>
      <c r="M15" s="6" t="n">
        <v>453666671</v>
      </c>
      <c r="N15" s="6" t="n">
        <v>495985176</v>
      </c>
      <c r="O15" s="6" t="n">
        <v>468451357</v>
      </c>
    </row>
    <row r="16" ht="22" customHeight="1">
      <c r="J16" s="5" t="inlineStr">
        <is>
          <t>长期借款</t>
        </is>
      </c>
      <c r="K16" s="6" t="n">
        <v>8743519</v>
      </c>
      <c r="L16" s="6" t="n">
        <v>7593596</v>
      </c>
      <c r="M16" s="6" t="n">
        <v>11975139</v>
      </c>
      <c r="N16" s="6" t="n">
        <v>8257786</v>
      </c>
      <c r="O16" s="6" t="n">
        <v>60705569</v>
      </c>
    </row>
    <row r="17" ht="22" customHeight="1">
      <c r="J17" s="5" t="inlineStr">
        <is>
          <t>应付债券</t>
        </is>
      </c>
      <c r="K17" s="6" t="n">
        <v>2046439</v>
      </c>
      <c r="L17" s="6" t="n">
        <v>0</v>
      </c>
      <c r="M17" s="6" t="n"/>
      <c r="N17" s="6" t="n">
        <v>0</v>
      </c>
      <c r="O17" s="6" t="n">
        <v>4997910</v>
      </c>
    </row>
    <row r="18" ht="22" customHeight="1">
      <c r="J18" s="5" t="inlineStr">
        <is>
          <t>租赁负债</t>
        </is>
      </c>
      <c r="K18" s="6" t="n">
        <v>1415291</v>
      </c>
      <c r="L18" s="6" t="n">
        <v>2617274</v>
      </c>
      <c r="M18" s="6" t="n">
        <v>8847186</v>
      </c>
      <c r="N18" s="6" t="n">
        <v>9875967</v>
      </c>
      <c r="O18" s="6" t="n">
        <v>8620487</v>
      </c>
    </row>
    <row r="19" ht="22" customHeight="1">
      <c r="J19" s="5" t="inlineStr">
        <is>
          <t>负债合计</t>
        </is>
      </c>
      <c r="K19" s="6" t="n">
        <v>191535938</v>
      </c>
      <c r="L19" s="6" t="n">
        <v>372470809</v>
      </c>
      <c r="M19" s="6" t="n">
        <v>529085557</v>
      </c>
      <c r="N19" s="6" t="n">
        <v>584667646</v>
      </c>
      <c r="O19" s="6" t="n">
        <v>625190698</v>
      </c>
    </row>
    <row r="20" ht="22" customHeight="1">
      <c r="J20" s="5" t="inlineStr">
        <is>
          <t>归属于母公司股东权益</t>
        </is>
      </c>
      <c r="K20" s="6" t="n">
        <v>95069671</v>
      </c>
      <c r="L20" s="6" t="n">
        <v>111029299</v>
      </c>
      <c r="M20" s="6" t="n">
        <v>138810065</v>
      </c>
      <c r="N20" s="6" t="n">
        <v>185251104</v>
      </c>
      <c r="O20" s="6" t="n">
        <v>246274606</v>
      </c>
    </row>
    <row r="21" ht="22" customHeight="1">
      <c r="J21" s="5" t="inlineStr">
        <is>
          <t>少数股东权益</t>
        </is>
      </c>
      <c r="K21" s="6" t="n">
        <v>9174538</v>
      </c>
      <c r="L21" s="6" t="n">
        <v>10360538</v>
      </c>
      <c r="M21" s="6" t="n">
        <v>11652048</v>
      </c>
      <c r="N21" s="6" t="n">
        <v>13437105</v>
      </c>
      <c r="O21" s="6" t="n">
        <v>12264579</v>
      </c>
    </row>
    <row r="22" ht="22" customHeight="1">
      <c r="J22" s="5" t="inlineStr">
        <is>
          <t>股东权益合计</t>
        </is>
      </c>
      <c r="K22" s="6" t="n">
        <v>104244209</v>
      </c>
      <c r="L22" s="6" t="n">
        <v>121389837</v>
      </c>
      <c r="M22" s="6" t="n">
        <v>150462113</v>
      </c>
      <c r="N22" s="6" t="n">
        <v>198688209</v>
      </c>
      <c r="O22" s="6" t="n">
        <v>258539185</v>
      </c>
    </row>
    <row r="24">
      <c r="J24" s="8" t="inlineStr">
        <is>
          <t>财务费用附注(期间数)</t>
        </is>
      </c>
    </row>
    <row r="25" ht="36" customHeight="1">
      <c r="J25" s="4" t="inlineStr">
        <is>
          <t>科目</t>
        </is>
      </c>
      <c r="K25" s="4" t="inlineStr">
        <is>
          <t>2021年</t>
        </is>
      </c>
      <c r="L25" s="4" t="inlineStr">
        <is>
          <t>2022年</t>
        </is>
      </c>
      <c r="M25" s="4" t="inlineStr">
        <is>
          <t>2023年</t>
        </is>
      </c>
      <c r="N25" s="4" t="inlineStr">
        <is>
          <t>2024年</t>
        </is>
      </c>
      <c r="O25" s="4" t="inlineStr">
        <is>
          <t>2025年</t>
        </is>
      </c>
    </row>
    <row r="26" ht="22" customHeight="1">
      <c r="J26" s="5" t="inlineStr">
        <is>
          <t>利息支出</t>
        </is>
      </c>
      <c r="K26" s="6" t="n">
        <v>1915357</v>
      </c>
      <c r="L26" s="6" t="n">
        <v>1316350</v>
      </c>
      <c r="M26" s="6" t="n">
        <v>1827605</v>
      </c>
      <c r="N26" s="6" t="n">
        <v>2093781</v>
      </c>
      <c r="O26" s="6" t="n">
        <v>2551657</v>
      </c>
    </row>
    <row r="27" ht="22" customHeight="1">
      <c r="J27" s="5" t="inlineStr">
        <is>
          <t>利息收入</t>
        </is>
      </c>
      <c r="K27" s="6" t="n">
        <v>631841</v>
      </c>
      <c r="L27" s="6" t="n">
        <v>1829617</v>
      </c>
      <c r="M27" s="6" t="n">
        <v>2796195</v>
      </c>
      <c r="N27" s="6" t="n">
        <v>2483756</v>
      </c>
      <c r="O27" s="6" t="n">
        <v>2436953</v>
      </c>
    </row>
    <row r="30" ht="8" customHeight="1"/>
    <row r="31" ht="26" customHeight="1">
      <c r="A31" s="3" t="inlineStr">
        <is>
          <t>2. 杠杆趋势(资产负债率 / 有息负债率,%)</t>
        </is>
      </c>
    </row>
    <row r="32" ht="36" customHeight="1">
      <c r="A32" s="4" t="inlineStr">
        <is>
          <t>比率(%)</t>
        </is>
      </c>
      <c r="B32" s="4" t="inlineStr">
        <is>
          <t>2021末</t>
        </is>
      </c>
      <c r="C32" s="4" t="inlineStr">
        <is>
          <t>2022末</t>
        </is>
      </c>
      <c r="D32" s="4" t="inlineStr">
        <is>
          <t>2023末</t>
        </is>
      </c>
      <c r="E32" s="4" t="inlineStr">
        <is>
          <t>2024末</t>
        </is>
      </c>
      <c r="F32" s="4" t="inlineStr">
        <is>
          <t>2025末</t>
        </is>
      </c>
    </row>
    <row r="33" ht="22" customHeight="1">
      <c r="A33" s="5" t="inlineStr">
        <is>
          <t>资产负债率</t>
        </is>
      </c>
      <c r="B33" s="6" t="n">
        <v>64.76000000000001</v>
      </c>
      <c r="C33" s="6" t="n">
        <v>75.42</v>
      </c>
      <c r="D33" s="6" t="n">
        <v>77.86</v>
      </c>
      <c r="E33" s="6" t="n">
        <v>74.64</v>
      </c>
      <c r="F33" s="6" t="n">
        <v>70.73999999999999</v>
      </c>
    </row>
    <row r="34" ht="22" customHeight="1">
      <c r="A34" s="5" t="inlineStr">
        <is>
          <t>有息负债率(有息负债/总资产)</t>
        </is>
      </c>
      <c r="B34" s="6" t="n">
        <v>11.97</v>
      </c>
      <c r="C34" s="6" t="n">
        <v>4.42</v>
      </c>
      <c r="D34" s="6" t="n">
        <v>6.9</v>
      </c>
      <c r="E34" s="6" t="n">
        <v>5.16</v>
      </c>
      <c r="F34" s="6" t="n">
        <v>13.48</v>
      </c>
    </row>
    <row r="35" ht="8" customHeight="1"/>
    <row r="55" ht="8" customHeight="1"/>
    <row r="56" ht="26" customHeight="1">
      <c r="A56" s="3" t="inlineStr">
        <is>
          <t>3. 有息负债结构 + 净负债(亿元)</t>
        </is>
      </c>
    </row>
    <row r="57" ht="36" customHeight="1">
      <c r="A57" s="4" t="inlineStr">
        <is>
          <t>项目(亿元)</t>
        </is>
      </c>
      <c r="B57" s="4" t="inlineStr">
        <is>
          <t>2021末</t>
        </is>
      </c>
      <c r="C57" s="4" t="inlineStr">
        <is>
          <t>2022末</t>
        </is>
      </c>
      <c r="D57" s="4" t="inlineStr">
        <is>
          <t>2023末</t>
        </is>
      </c>
      <c r="E57" s="4" t="inlineStr">
        <is>
          <t>2024末</t>
        </is>
      </c>
      <c r="F57" s="4" t="inlineStr">
        <is>
          <t>2025末</t>
        </is>
      </c>
    </row>
    <row r="58" ht="22" customHeight="1">
      <c r="A58" s="5" t="inlineStr">
        <is>
          <t>短期借款</t>
        </is>
      </c>
      <c r="B58" s="6" t="n">
        <v>102.04</v>
      </c>
      <c r="C58" s="6" t="n">
        <v>51.53</v>
      </c>
      <c r="D58" s="6" t="n">
        <v>183.23</v>
      </c>
      <c r="E58" s="6" t="n">
        <v>121.03</v>
      </c>
      <c r="F58" s="6" t="n">
        <v>384.85</v>
      </c>
    </row>
    <row r="59" ht="22" customHeight="1">
      <c r="A59" s="5" t="inlineStr">
        <is>
          <t>一年内到期非流动负债</t>
        </is>
      </c>
      <c r="B59" s="6" t="n">
        <v>129.83</v>
      </c>
      <c r="C59" s="6" t="n">
        <v>64.65000000000001</v>
      </c>
      <c r="D59" s="6" t="n">
        <v>77.40000000000001</v>
      </c>
      <c r="E59" s="6" t="n">
        <v>102.23</v>
      </c>
      <c r="F59" s="6" t="n">
        <v>63.12</v>
      </c>
    </row>
    <row r="60" ht="22" customHeight="1">
      <c r="A60" s="5" t="inlineStr">
        <is>
          <t>长期借款</t>
        </is>
      </c>
      <c r="B60" s="6" t="n">
        <v>87.44</v>
      </c>
      <c r="C60" s="6" t="n">
        <v>75.94</v>
      </c>
      <c r="D60" s="6" t="n">
        <v>119.75</v>
      </c>
      <c r="E60" s="6" t="n">
        <v>82.58</v>
      </c>
      <c r="F60" s="6" t="n">
        <v>607.0599999999999</v>
      </c>
    </row>
    <row r="61" ht="22" customHeight="1">
      <c r="A61" s="5" t="inlineStr">
        <is>
          <t>应付债券</t>
        </is>
      </c>
      <c r="B61" s="6" t="n">
        <v>20.46</v>
      </c>
      <c r="C61" s="6" t="n">
        <v>0</v>
      </c>
      <c r="D61" s="6" t="n"/>
      <c r="E61" s="6" t="n">
        <v>0</v>
      </c>
      <c r="F61" s="6" t="n">
        <v>49.98</v>
      </c>
    </row>
    <row r="62" ht="22" customHeight="1">
      <c r="A62" s="5" t="inlineStr">
        <is>
          <t>租赁负债</t>
        </is>
      </c>
      <c r="B62" s="6" t="n">
        <v>14.15</v>
      </c>
      <c r="C62" s="6" t="n">
        <v>26.17</v>
      </c>
      <c r="D62" s="6" t="n">
        <v>88.47</v>
      </c>
      <c r="E62" s="6" t="n">
        <v>98.76000000000001</v>
      </c>
      <c r="F62" s="6" t="n">
        <v>86.2</v>
      </c>
    </row>
    <row r="63" ht="22" customHeight="1">
      <c r="A63" s="5" t="inlineStr">
        <is>
          <t>货币资金</t>
        </is>
      </c>
      <c r="B63" s="6" t="n">
        <v>504.57</v>
      </c>
      <c r="C63" s="6" t="n">
        <v>514.71</v>
      </c>
      <c r="D63" s="6" t="n">
        <v>1090.94</v>
      </c>
      <c r="E63" s="6" t="n">
        <v>1027.39</v>
      </c>
      <c r="F63" s="6" t="n">
        <v>754.25</v>
      </c>
    </row>
    <row r="64" ht="22" customHeight="1">
      <c r="A64" s="5" t="inlineStr">
        <is>
          <t>有息负债合计</t>
        </is>
      </c>
      <c r="B64" s="6" t="n">
        <v>353.93</v>
      </c>
      <c r="C64" s="6" t="n">
        <v>218.29</v>
      </c>
      <c r="D64" s="6" t="n">
        <v>468.86</v>
      </c>
      <c r="E64" s="6" t="n">
        <v>404.6</v>
      </c>
      <c r="F64" s="6" t="n">
        <v>1191.21</v>
      </c>
    </row>
    <row r="65" ht="22" customHeight="1">
      <c r="A65" s="5" t="inlineStr">
        <is>
          <t>净有息负债(有息-货币)</t>
        </is>
      </c>
      <c r="B65" s="6" t="n">
        <v>-150.64</v>
      </c>
      <c r="C65" s="6" t="n">
        <v>-296.42</v>
      </c>
      <c r="D65" s="6" t="n">
        <v>-622.08</v>
      </c>
      <c r="E65" s="6" t="n">
        <v>-622.79</v>
      </c>
      <c r="F65" s="6" t="n">
        <v>436.96</v>
      </c>
    </row>
    <row r="66" ht="8" customHeight="1"/>
    <row r="86" ht="8" customHeight="1"/>
    <row r="87" ht="26" customHeight="1">
      <c r="A87" s="3" t="inlineStr">
        <is>
          <t>4. 营运资本周转(周转天数 + 现金转换周期 CCC)</t>
        </is>
      </c>
    </row>
    <row r="88" ht="36" customHeight="1">
      <c r="A88" s="4" t="inlineStr">
        <is>
          <t>周转天数(天)</t>
        </is>
      </c>
      <c r="B88" s="4" t="inlineStr">
        <is>
          <t>2021</t>
        </is>
      </c>
      <c r="C88" s="4" t="inlineStr">
        <is>
          <t>2022</t>
        </is>
      </c>
      <c r="D88" s="4" t="inlineStr">
        <is>
          <t>2023</t>
        </is>
      </c>
      <c r="E88" s="4" t="inlineStr">
        <is>
          <t>2024</t>
        </is>
      </c>
      <c r="F88" s="4" t="inlineStr">
        <is>
          <t>2025</t>
        </is>
      </c>
    </row>
    <row r="89" ht="22" customHeight="1">
      <c r="A89" s="5" t="inlineStr">
        <is>
          <t>应收账款周转天数</t>
        </is>
      </c>
      <c r="B89" s="6" t="n">
        <v>61.2</v>
      </c>
      <c r="C89" s="6" t="n">
        <v>32.3</v>
      </c>
      <c r="D89" s="6" t="n">
        <v>30.5</v>
      </c>
      <c r="E89" s="6" t="n">
        <v>29.2</v>
      </c>
      <c r="F89" s="6" t="n">
        <v>22.5</v>
      </c>
    </row>
    <row r="90" ht="22" customHeight="1">
      <c r="A90" s="5" t="inlineStr">
        <is>
          <t>存货周转天数</t>
        </is>
      </c>
      <c r="B90" s="6" t="n">
        <v>84.2</v>
      </c>
      <c r="C90" s="6" t="n">
        <v>63.5</v>
      </c>
      <c r="D90" s="6" t="n">
        <v>62.1</v>
      </c>
      <c r="E90" s="6" t="n">
        <v>59.4</v>
      </c>
      <c r="F90" s="6" t="n">
        <v>70.2</v>
      </c>
    </row>
    <row r="91" ht="22" customHeight="1">
      <c r="A91" s="5" t="inlineStr">
        <is>
          <t>应付账款周转天数</t>
        </is>
      </c>
      <c r="B91" s="6" t="n">
        <v>142</v>
      </c>
      <c r="C91" s="6" t="n">
        <v>110.8</v>
      </c>
      <c r="D91" s="6" t="n">
        <v>124.6</v>
      </c>
      <c r="E91" s="6" t="n">
        <v>127.1</v>
      </c>
      <c r="F91" s="6" t="n">
        <v>118.2</v>
      </c>
    </row>
    <row r="92" ht="22" customHeight="1">
      <c r="A92" s="5" t="inlineStr">
        <is>
          <t>现金转换周期 CCC</t>
        </is>
      </c>
      <c r="B92" s="6" t="n">
        <v>3.4</v>
      </c>
      <c r="C92" s="6" t="n">
        <v>-15</v>
      </c>
      <c r="D92" s="6" t="n">
        <v>-32</v>
      </c>
      <c r="E92" s="6" t="n">
        <v>-38.5</v>
      </c>
      <c r="F92" s="6" t="n">
        <v>-25.5</v>
      </c>
    </row>
    <row r="93" ht="8" customHeight="1"/>
    <row r="113" ht="8" customHeight="1"/>
    <row r="114" ht="26" customHeight="1">
      <c r="A114" s="3" t="inlineStr">
        <is>
          <t>5. 资产结构(2025年末)+ 商誉占净资产(减值风险)</t>
        </is>
      </c>
    </row>
    <row r="115" ht="36" customHeight="1">
      <c r="A115" s="4" t="inlineStr">
        <is>
          <t>2025年末科目</t>
        </is>
      </c>
      <c r="B115" s="4" t="inlineStr">
        <is>
          <t>金额(亿元)</t>
        </is>
      </c>
      <c r="C115" s="4" t="inlineStr">
        <is>
          <t>占总资产(%)</t>
        </is>
      </c>
    </row>
    <row r="116" ht="22" customHeight="1">
      <c r="A116" s="5" t="inlineStr">
        <is>
          <t>货币资金</t>
        </is>
      </c>
      <c r="B116" s="6" t="n">
        <v>754.25</v>
      </c>
      <c r="C116" s="6" t="n">
        <v>8.5</v>
      </c>
    </row>
    <row r="117" ht="22" customHeight="1">
      <c r="A117" s="5" t="inlineStr">
        <is>
          <t>应收账款</t>
        </is>
      </c>
      <c r="B117" s="6" t="n">
        <v>370.05</v>
      </c>
      <c r="C117" s="6" t="n">
        <v>4.2</v>
      </c>
    </row>
    <row r="118" ht="22" customHeight="1">
      <c r="A118" s="5" t="inlineStr">
        <is>
          <t>存货</t>
        </is>
      </c>
      <c r="B118" s="6" t="n">
        <v>1384.21</v>
      </c>
      <c r="C118" s="6" t="n">
        <v>15.7</v>
      </c>
    </row>
    <row r="119" ht="22" customHeight="1">
      <c r="A119" s="5" t="inlineStr">
        <is>
          <t>固定资产</t>
        </is>
      </c>
      <c r="B119" s="6" t="n">
        <v>2927.76</v>
      </c>
      <c r="C119" s="6" t="n">
        <v>33.1</v>
      </c>
    </row>
    <row r="120" ht="22" customHeight="1">
      <c r="A120" s="5" t="inlineStr">
        <is>
          <t>在建工程</t>
        </is>
      </c>
      <c r="B120" s="6" t="n">
        <v>482.94</v>
      </c>
      <c r="C120" s="6" t="n">
        <v>5.5</v>
      </c>
    </row>
    <row r="121" ht="22" customHeight="1">
      <c r="A121" s="5" t="inlineStr">
        <is>
          <t>商誉</t>
        </is>
      </c>
      <c r="B121" s="6" t="n">
        <v>44.28</v>
      </c>
      <c r="C121" s="6" t="n">
        <v>0.5</v>
      </c>
    </row>
    <row r="122" ht="22" customHeight="1">
      <c r="A122" s="5" t="inlineStr">
        <is>
          <t>其他资产</t>
        </is>
      </c>
      <c r="B122" s="6" t="n">
        <v>2873.83</v>
      </c>
      <c r="C122" s="6" t="n">
        <v>32.5</v>
      </c>
    </row>
    <row r="123" ht="8" customHeight="1"/>
    <row r="142" ht="8" customHeight="1"/>
    <row r="143" ht="36" customHeight="1">
      <c r="A143" s="4" t="inlineStr">
        <is>
          <t>减值风险代理</t>
        </is>
      </c>
      <c r="B143" s="4" t="inlineStr">
        <is>
          <t>2021末</t>
        </is>
      </c>
      <c r="C143" s="4" t="inlineStr">
        <is>
          <t>2022末</t>
        </is>
      </c>
      <c r="D143" s="4" t="inlineStr">
        <is>
          <t>2023末</t>
        </is>
      </c>
      <c r="E143" s="4" t="inlineStr">
        <is>
          <t>2024末</t>
        </is>
      </c>
      <c r="F143" s="4" t="inlineStr">
        <is>
          <t>2025末</t>
        </is>
      </c>
    </row>
    <row r="144" ht="22" customHeight="1">
      <c r="A144" s="5" t="inlineStr">
        <is>
          <t>商誉/归母净资产(%)</t>
        </is>
      </c>
      <c r="B144" s="6" t="n">
        <v>0.07000000000000001</v>
      </c>
      <c r="C144" s="6" t="n">
        <v>0.06</v>
      </c>
      <c r="D144" s="6" t="n">
        <v>3.19</v>
      </c>
      <c r="E144" s="6" t="n">
        <v>2.39</v>
      </c>
      <c r="F144" s="6" t="n">
        <v>1.8</v>
      </c>
    </row>
  </sheetData>
  <mergeCells count="7">
    <mergeCell ref="A2:F2"/>
    <mergeCell ref="A1:F1"/>
    <mergeCell ref="A31:F31"/>
    <mergeCell ref="A56:F56"/>
    <mergeCell ref="A4:F4"/>
    <mergeCell ref="A114:F114"/>
    <mergeCell ref="A87:F8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30" customHeight="1">
      <c r="A1" s="1" t="inlineStr">
        <is>
          <t>比亚迪 2021-2025年 回报指标(E 类:ROE / ROA / ROIC / 杜邦)</t>
        </is>
      </c>
    </row>
    <row r="2" ht="22" customHeight="1">
      <c r="A2" s="2" t="inlineStr">
        <is>
          <t>数据源:2022.json, 2023.json, 2024.json, 2025.json    |    比率:%    |    周转:次    |    乘数:倍    |    ROE 为归母口径</t>
        </is>
      </c>
    </row>
    <row r="3" ht="8" customHeight="1"/>
    <row r="4" ht="26" customHeight="1">
      <c r="A4" s="3" t="inlineStr">
        <is>
          <t>1. 回报指标趋势(ROE / ROA / ROIC,%)</t>
        </is>
      </c>
    </row>
    <row r="5" ht="36" customHeight="1">
      <c r="A5" s="4" t="inlineStr">
        <is>
          <t>指标(%)</t>
        </is>
      </c>
      <c r="B5" s="4" t="inlineStr">
        <is>
          <t>2021</t>
        </is>
      </c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2025</t>
        </is>
      </c>
    </row>
    <row r="6" ht="22" customHeight="1">
      <c r="A6" s="5" t="inlineStr">
        <is>
          <t>ROE 净资产收益率(归母)</t>
        </is>
      </c>
      <c r="B6" s="6" t="n">
        <v>3.2</v>
      </c>
      <c r="C6" s="6" t="n">
        <v>16.13</v>
      </c>
      <c r="D6" s="6" t="n">
        <v>24.05</v>
      </c>
      <c r="E6" s="6" t="n">
        <v>24.84</v>
      </c>
      <c r="F6" s="6" t="n">
        <v>15.12</v>
      </c>
    </row>
    <row r="7" ht="22" customHeight="1">
      <c r="A7" s="5" t="inlineStr">
        <is>
          <t>ROA 总资产收益率</t>
        </is>
      </c>
      <c r="B7" s="6" t="n">
        <v>1.34</v>
      </c>
      <c r="C7" s="6" t="n">
        <v>4.49</v>
      </c>
      <c r="D7" s="6" t="n">
        <v>5.34</v>
      </c>
      <c r="E7" s="6" t="n">
        <v>5.69</v>
      </c>
      <c r="F7" s="6" t="n">
        <v>4.05</v>
      </c>
    </row>
    <row r="8" ht="22" customHeight="1">
      <c r="A8" s="5" t="inlineStr">
        <is>
          <t>ROIC 投入资本回报率</t>
        </is>
      </c>
      <c r="B8" s="6" t="n">
        <v>4.05</v>
      </c>
      <c r="C8" s="6" t="n">
        <v>13.31</v>
      </c>
      <c r="D8" s="6" t="n">
        <v>19.31</v>
      </c>
      <c r="E8" s="6" t="n">
        <v>19.86</v>
      </c>
      <c r="F8" s="6" t="n">
        <v>11.65</v>
      </c>
    </row>
    <row r="9" ht="8" customHeight="1"/>
    <row r="29" ht="8" customHeight="1"/>
    <row r="30" ht="26" customHeight="1">
      <c r="A30" s="3" t="inlineStr">
        <is>
          <t>2. 杜邦三因子(归母净利率% / 总资产周转 / 权益乘数)</t>
        </is>
      </c>
    </row>
    <row r="31" ht="36" customHeight="1">
      <c r="A31" s="4" t="inlineStr">
        <is>
          <t>杜邦因子</t>
        </is>
      </c>
      <c r="B31" s="4" t="inlineStr">
        <is>
          <t>2021</t>
        </is>
      </c>
      <c r="C31" s="4" t="inlineStr">
        <is>
          <t>2022</t>
        </is>
      </c>
      <c r="D31" s="4" t="inlineStr">
        <is>
          <t>2023</t>
        </is>
      </c>
      <c r="E31" s="4" t="inlineStr">
        <is>
          <t>2024</t>
        </is>
      </c>
      <c r="F31" s="4" t="inlineStr">
        <is>
          <t>2025</t>
        </is>
      </c>
    </row>
    <row r="32" ht="22" customHeight="1">
      <c r="A32" s="5" t="inlineStr">
        <is>
          <t>归母净利率(%)</t>
        </is>
      </c>
      <c r="B32" s="6" t="n">
        <v>1.41</v>
      </c>
      <c r="C32" s="6" t="n">
        <v>3.92</v>
      </c>
      <c r="D32" s="6" t="n">
        <v>4.99</v>
      </c>
      <c r="E32" s="6" t="n">
        <v>5.18</v>
      </c>
      <c r="F32" s="6" t="n">
        <v>4.06</v>
      </c>
    </row>
    <row r="33" ht="22" customHeight="1">
      <c r="A33" s="5" t="inlineStr">
        <is>
          <t>总资产周转率(次)</t>
        </is>
      </c>
      <c r="B33" s="6" t="n">
        <v>0.73</v>
      </c>
      <c r="C33" s="6" t="n">
        <v>1.07</v>
      </c>
      <c r="D33" s="6" t="n">
        <v>1.03</v>
      </c>
      <c r="E33" s="6" t="n">
        <v>1.06</v>
      </c>
      <c r="F33" s="6" t="n">
        <v>0.96</v>
      </c>
    </row>
    <row r="34" ht="22" customHeight="1">
      <c r="A34" s="5" t="inlineStr">
        <is>
          <t>权益乘数(倍)</t>
        </is>
      </c>
      <c r="B34" s="6" t="n">
        <v>3.11</v>
      </c>
      <c r="C34" s="6" t="n">
        <v>3.83</v>
      </c>
      <c r="D34" s="6" t="n">
        <v>4.7</v>
      </c>
      <c r="E34" s="6" t="n">
        <v>4.51</v>
      </c>
      <c r="F34" s="6" t="n">
        <v>3.86</v>
      </c>
    </row>
    <row r="35" ht="8" customHeight="1"/>
    <row r="55" ht="8" customHeight="1"/>
    <row r="56" ht="26" customHeight="1">
      <c r="A56" s="3" t="inlineStr">
        <is>
          <t>3. ROE 杜邦归因(归母净利率 × 总资产周转 × 权益乘数 = ROE)</t>
        </is>
      </c>
    </row>
    <row r="57" ht="36" customHeight="1">
      <c r="A57" s="4" t="inlineStr">
        <is>
          <t>年度</t>
        </is>
      </c>
      <c r="B57" s="4" t="inlineStr">
        <is>
          <t>归母净利率</t>
        </is>
      </c>
      <c r="C57" s="4" t="inlineStr">
        <is>
          <t>总资产周转</t>
        </is>
      </c>
      <c r="D57" s="4" t="inlineStr">
        <is>
          <t>权益乘数</t>
        </is>
      </c>
      <c r="E57" s="4" t="inlineStr">
        <is>
          <t>ROE</t>
        </is>
      </c>
    </row>
    <row r="58" ht="22" customHeight="1">
      <c r="A58" s="5" t="inlineStr">
        <is>
          <t>2021</t>
        </is>
      </c>
      <c r="B58" s="6" t="inlineStr">
        <is>
          <t>1.41%</t>
        </is>
      </c>
      <c r="C58" s="6" t="inlineStr">
        <is>
          <t>0.73</t>
        </is>
      </c>
      <c r="D58" s="6" t="inlineStr">
        <is>
          <t>3.11</t>
        </is>
      </c>
      <c r="E58" s="6" t="inlineStr">
        <is>
          <t>3.20%</t>
        </is>
      </c>
    </row>
    <row r="59" ht="22" customHeight="1">
      <c r="A59" s="5" t="inlineStr">
        <is>
          <t>2022</t>
        </is>
      </c>
      <c r="B59" s="6" t="inlineStr">
        <is>
          <t>3.92%</t>
        </is>
      </c>
      <c r="C59" s="6" t="inlineStr">
        <is>
          <t>1.07</t>
        </is>
      </c>
      <c r="D59" s="6" t="inlineStr">
        <is>
          <t>3.83</t>
        </is>
      </c>
      <c r="E59" s="6" t="inlineStr">
        <is>
          <t>16.13%</t>
        </is>
      </c>
    </row>
    <row r="60" ht="22" customHeight="1">
      <c r="A60" s="5" t="inlineStr">
        <is>
          <t>2023</t>
        </is>
      </c>
      <c r="B60" s="6" t="inlineStr">
        <is>
          <t>4.99%</t>
        </is>
      </c>
      <c r="C60" s="6" t="inlineStr">
        <is>
          <t>1.03</t>
        </is>
      </c>
      <c r="D60" s="6" t="inlineStr">
        <is>
          <t>4.70</t>
        </is>
      </c>
      <c r="E60" s="6" t="inlineStr">
        <is>
          <t>24.05%</t>
        </is>
      </c>
    </row>
    <row r="61" ht="22" customHeight="1">
      <c r="A61" s="5" t="inlineStr">
        <is>
          <t>2024</t>
        </is>
      </c>
      <c r="B61" s="6" t="inlineStr">
        <is>
          <t>5.18%</t>
        </is>
      </c>
      <c r="C61" s="6" t="inlineStr">
        <is>
          <t>1.06</t>
        </is>
      </c>
      <c r="D61" s="6" t="inlineStr">
        <is>
          <t>4.51</t>
        </is>
      </c>
      <c r="E61" s="6" t="inlineStr">
        <is>
          <t>24.84%</t>
        </is>
      </c>
    </row>
    <row r="62" ht="22" customHeight="1">
      <c r="A62" s="5" t="inlineStr">
        <is>
          <t>2025</t>
        </is>
      </c>
      <c r="B62" s="6" t="inlineStr">
        <is>
          <t>4.06%</t>
        </is>
      </c>
      <c r="C62" s="6" t="inlineStr">
        <is>
          <t>0.96</t>
        </is>
      </c>
      <c r="D62" s="6" t="inlineStr">
        <is>
          <t>3.86</t>
        </is>
      </c>
      <c r="E62" s="6" t="inlineStr">
        <is>
          <t>15.12%</t>
        </is>
      </c>
    </row>
  </sheetData>
  <mergeCells count="5">
    <mergeCell ref="A2:F2"/>
    <mergeCell ref="A1:F1"/>
    <mergeCell ref="A56:F56"/>
    <mergeCell ref="A4:F4"/>
    <mergeCell ref="A30:F3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  <col width="14" customWidth="1" min="4" max="4"/>
  </cols>
  <sheetData>
    <row r="1" ht="30" customHeight="1">
      <c r="A1" s="1" t="inlineStr">
        <is>
          <t>比亚迪 2024年 治理与风险红旗(F 类)</t>
        </is>
      </c>
    </row>
    <row r="2" ht="22" customHeight="1">
      <c r="A2" s="2" t="inlineStr">
        <is>
          <t>数据源:2022.json, 2023.json, 2024.json, 2025.json    |    🔴 红旗 / 🟡 关注 / ✅ 正常    |    金额:万元/亿元    |    单年快照</t>
        </is>
      </c>
    </row>
    <row r="3" ht="8" customHeight="1"/>
    <row r="4" ht="26" customHeight="1">
      <c r="A4" s="3" t="inlineStr">
        <is>
          <t>1. 治理红旗看板</t>
        </is>
      </c>
    </row>
    <row r="5" ht="36" customHeight="1">
      <c r="A5" s="4" t="inlineStr">
        <is>
          <t>红旗项</t>
        </is>
      </c>
      <c r="B5" s="4" t="inlineStr">
        <is>
          <t>数值 / 说明</t>
        </is>
      </c>
      <c r="C5" s="4" t="inlineStr">
        <is>
          <t>状态</t>
        </is>
      </c>
    </row>
    <row r="6" ht="22" customHeight="1">
      <c r="A6" s="5" t="inlineStr">
        <is>
          <t>审计意见类型</t>
        </is>
      </c>
      <c r="B6" s="6" t="inlineStr">
        <is>
          <t>标准无保留意见</t>
        </is>
      </c>
      <c r="C6" s="6" t="inlineStr">
        <is>
          <t>✅ 正常</t>
        </is>
      </c>
    </row>
    <row r="7" ht="22" customHeight="1">
      <c r="A7" s="5" t="inlineStr">
        <is>
          <t>会计师事务所(连续年限)</t>
        </is>
      </c>
      <c r="B7" s="6" t="inlineStr">
        <is>
          <t>安永华明会计师事务所（特殊普通合伙）（19年）</t>
        </is>
      </c>
      <c r="C7" s="6" t="inlineStr">
        <is>
          <t>✅ 未变更</t>
        </is>
      </c>
    </row>
    <row r="8" ht="22" customHeight="1">
      <c r="A8" s="5" t="inlineStr">
        <is>
          <t>实际控制人</t>
        </is>
      </c>
      <c r="B8" s="6" t="inlineStr">
        <is>
          <t>王传福</t>
        </is>
      </c>
      <c r="C8" s="6" t="inlineStr">
        <is>
          <t>✅ 未变更</t>
        </is>
      </c>
    </row>
    <row r="9" ht="22" customHeight="1">
      <c r="A9" s="5" t="inlineStr">
        <is>
          <t>担保余额占净资产</t>
        </is>
      </c>
      <c r="B9" s="6" t="inlineStr">
        <is>
          <t>21.79%</t>
        </is>
      </c>
      <c r="C9" s="6" t="inlineStr">
        <is>
          <t>✅ &lt;50%</t>
        </is>
      </c>
    </row>
    <row r="10" ht="22" customHeight="1">
      <c r="A10" s="5" t="inlineStr">
        <is>
          <t>为股东/实控人担保余额</t>
        </is>
      </c>
      <c r="B10" s="6" t="inlineStr">
        <is>
          <t>0</t>
        </is>
      </c>
      <c r="C10" s="6" t="inlineStr">
        <is>
          <t>✅ 无</t>
        </is>
      </c>
    </row>
    <row r="11" ht="22" customHeight="1">
      <c r="A11" s="5" t="inlineStr">
        <is>
          <t>前十大股东质押/冻结</t>
        </is>
      </c>
      <c r="B11" s="6" t="inlineStr">
        <is>
          <t>76,971,600 股</t>
        </is>
      </c>
      <c r="C11" s="6" t="inlineStr">
        <is>
          <t>🟡 存在质押</t>
        </is>
      </c>
    </row>
    <row r="12" ht="22" customHeight="1">
      <c r="A12" s="5" t="inlineStr">
        <is>
          <t>重大诉讼、仲裁</t>
        </is>
      </c>
      <c r="B12" s="6" t="inlineStr">
        <is>
          <t>3 笔 / 3,643 万元</t>
        </is>
      </c>
      <c r="C12" s="6" t="inlineStr">
        <is>
          <t>🟡 存在诉讼</t>
        </is>
      </c>
    </row>
    <row r="13" ht="22" customHeight="1">
      <c r="A13" s="5" t="inlineStr">
        <is>
          <t>日常关联交易</t>
        </is>
      </c>
      <c r="B13" s="6" t="inlineStr">
        <is>
          <t>无</t>
        </is>
      </c>
      <c r="C13" s="6" t="inlineStr">
        <is>
          <t>✅ 正常</t>
        </is>
      </c>
    </row>
    <row r="14" ht="8" customHeight="1"/>
    <row r="15" ht="26" customHeight="1">
      <c r="A15" s="3" t="inlineStr">
        <is>
          <t>2. 前十大股东持股结构(2024年末)</t>
        </is>
      </c>
    </row>
    <row r="16" ht="36" customHeight="1">
      <c r="A16" s="4" t="inlineStr">
        <is>
          <t>股东名称</t>
        </is>
      </c>
      <c r="B16" s="4" t="inlineStr">
        <is>
          <t>持股比例(%)</t>
        </is>
      </c>
      <c r="C16" s="4" t="inlineStr">
        <is>
          <t>质押/冻结(股)</t>
        </is>
      </c>
    </row>
    <row r="17" ht="22" customHeight="1">
      <c r="A17" s="5" t="inlineStr">
        <is>
          <t>HKSCC NOMINEES LIMITED</t>
        </is>
      </c>
      <c r="B17" s="6" t="n">
        <v>37.72</v>
      </c>
      <c r="C17" s="6" t="inlineStr">
        <is>
          <t>—</t>
        </is>
      </c>
    </row>
    <row r="18" ht="22" customHeight="1">
      <c r="A18" s="5" t="inlineStr">
        <is>
          <t>王传福</t>
        </is>
      </c>
      <c r="B18" s="6" t="n">
        <v>17.65</v>
      </c>
      <c r="C18" s="6" t="inlineStr">
        <is>
          <t>—</t>
        </is>
      </c>
    </row>
    <row r="19" ht="22" customHeight="1">
      <c r="A19" s="5" t="inlineStr">
        <is>
          <t>吕向阳</t>
        </is>
      </c>
      <c r="B19" s="6" t="n">
        <v>8.220000000000001</v>
      </c>
      <c r="C19" s="6" t="inlineStr">
        <is>
          <t>62,611,600</t>
        </is>
      </c>
    </row>
    <row r="20" ht="22" customHeight="1">
      <c r="A20" s="5" t="inlineStr">
        <is>
          <t>融捷投资控股集团有限公司</t>
        </is>
      </c>
      <c r="B20" s="6" t="n">
        <v>5.33</v>
      </c>
      <c r="C20" s="6" t="inlineStr">
        <is>
          <t>9,380,000</t>
        </is>
      </c>
    </row>
    <row r="21" ht="22" customHeight="1">
      <c r="A21" s="5" t="inlineStr">
        <is>
          <t>香港中央结算有限公司</t>
        </is>
      </c>
      <c r="B21" s="6" t="n">
        <v>3.3</v>
      </c>
      <c r="C21" s="6" t="inlineStr">
        <is>
          <t>—</t>
        </is>
      </c>
    </row>
    <row r="22" ht="22" customHeight="1">
      <c r="A22" s="5" t="inlineStr">
        <is>
          <t>夏佐全</t>
        </is>
      </c>
      <c r="B22" s="6" t="n">
        <v>2.84</v>
      </c>
      <c r="C22" s="6" t="inlineStr">
        <is>
          <t>1,850,000</t>
        </is>
      </c>
    </row>
    <row r="23" ht="22" customHeight="1">
      <c r="A23" s="5" t="inlineStr">
        <is>
          <t>王念强</t>
        </is>
      </c>
      <c r="B23" s="6" t="n">
        <v>0.63</v>
      </c>
      <c r="C23" s="6" t="inlineStr">
        <is>
          <t>3,130,000</t>
        </is>
      </c>
    </row>
    <row r="24" ht="22" customHeight="1">
      <c r="A24" s="5" t="inlineStr">
        <is>
          <t>中国工商银行股份有限公司－华泰柏瑞沪深300交易型开放式指数证券投资基金</t>
        </is>
      </c>
      <c r="B24" s="6" t="n">
        <v>0.54</v>
      </c>
      <c r="C24" s="6" t="inlineStr">
        <is>
          <t>—</t>
        </is>
      </c>
    </row>
    <row r="25" ht="22" customHeight="1">
      <c r="A25" s="5" t="inlineStr">
        <is>
          <t>中央汇金资产管理有限责任公司</t>
        </is>
      </c>
      <c r="B25" s="6" t="n">
        <v>0.41</v>
      </c>
      <c r="C25" s="6" t="inlineStr">
        <is>
          <t>—</t>
        </is>
      </c>
    </row>
    <row r="26" ht="22" customHeight="1">
      <c r="A26" s="5" t="inlineStr">
        <is>
          <t>全国社保基金一一四组合</t>
        </is>
      </c>
      <c r="B26" s="6" t="n">
        <v>0.38</v>
      </c>
      <c r="C26" s="6" t="inlineStr">
        <is>
          <t>—</t>
        </is>
      </c>
    </row>
    <row r="27" ht="8" customHeight="1"/>
    <row r="46" ht="8" customHeight="1"/>
    <row r="47" ht="26" customHeight="1">
      <c r="A47" s="3" t="inlineStr">
        <is>
          <t>3. 对外担保结构(亿元)</t>
        </is>
      </c>
    </row>
    <row r="48" ht="36" customHeight="1">
      <c r="A48" s="4" t="inlineStr">
        <is>
          <t>担保项</t>
        </is>
      </c>
      <c r="B48" s="4" t="inlineStr">
        <is>
          <t>金额(亿元)</t>
        </is>
      </c>
    </row>
    <row r="49" ht="22" customHeight="1">
      <c r="A49" s="5" t="inlineStr">
        <is>
          <t>担保余额合计</t>
        </is>
      </c>
      <c r="B49" s="6" t="n">
        <v>403.68</v>
      </c>
    </row>
    <row r="50" ht="22" customHeight="1">
      <c r="A50" s="5" t="inlineStr">
        <is>
          <t>其中:对外(不含子公司)</t>
        </is>
      </c>
      <c r="B50" s="6" t="n">
        <v>25.41</v>
      </c>
    </row>
    <row r="51" ht="22" customHeight="1">
      <c r="A51" s="5" t="inlineStr">
        <is>
          <t>其中:为资产负债率&gt;70%对象</t>
        </is>
      </c>
      <c r="B51" s="6" t="n">
        <v>377.98</v>
      </c>
    </row>
    <row r="52" ht="22" customHeight="1">
      <c r="A52" s="5" t="inlineStr">
        <is>
          <t>其中:为股东/实控人</t>
        </is>
      </c>
      <c r="B52" s="6" t="n">
        <v>0</v>
      </c>
    </row>
    <row r="53">
      <c r="A53" s="8" t="inlineStr">
        <is>
          <t>担保余额占净资产:21.79%</t>
        </is>
      </c>
    </row>
    <row r="72" ht="8" customHeight="1"/>
    <row r="73" ht="26" customHeight="1">
      <c r="A73" s="3" t="inlineStr">
        <is>
          <t>4. 重大诉讼、仲裁明细</t>
        </is>
      </c>
    </row>
    <row r="74" ht="36" customHeight="1">
      <c r="A74" s="4" t="inlineStr">
        <is>
          <t>案件</t>
        </is>
      </c>
      <c r="B74" s="4" t="inlineStr">
        <is>
          <t>涉案金额(万元)</t>
        </is>
      </c>
      <c r="C74" s="4" t="inlineStr">
        <is>
          <t>角色</t>
        </is>
      </c>
      <c r="D74" s="4" t="inlineStr">
        <is>
          <t>进展</t>
        </is>
      </c>
    </row>
    <row r="75" ht="22" customHeight="1">
      <c r="A75" s="5" t="inlineStr">
        <is>
          <t>深圳富泰宏精密工业(富士康系)等与公司及部分子公司之间的侵权诉讼</t>
        </is>
      </c>
      <c r="B75" s="6" t="n">
        <v>650.7</v>
      </c>
      <c r="C75" s="6" t="inlineStr">
        <is>
          <t>被告(并提起反诉)</t>
        </is>
      </c>
      <c r="D75" s="6" t="inlineStr">
        <is>
          <t>状书往来阶段</t>
        </is>
      </c>
    </row>
    <row r="76" ht="22" customHeight="1">
      <c r="A76" s="5" t="inlineStr">
        <is>
          <t>比亚迪汽车与山西利民机电购销合同纠纷</t>
        </is>
      </c>
      <c r="B76" s="6" t="n">
        <v>1971.74</v>
      </c>
      <c r="C76" s="6" t="inlineStr">
        <is>
          <t>原告/受偿</t>
        </is>
      </c>
      <c r="D76" s="6" t="inlineStr">
        <is>
          <t>执行中(山西利民赔偿比亚迪)</t>
        </is>
      </c>
    </row>
    <row r="77" ht="22" customHeight="1">
      <c r="A77" s="5" t="inlineStr">
        <is>
          <t>惠州比亚迪实业与爱佩仪光电购销合同纠纷</t>
        </is>
      </c>
      <c r="B77" s="6" t="n">
        <v>1021</v>
      </c>
      <c r="C77" s="6" t="inlineStr">
        <is>
          <t>原告/受偿</t>
        </is>
      </c>
      <c r="D77" s="6" t="inlineStr">
        <is>
          <t>执行中(爱佩仪向惠州比亚迪支付)</t>
        </is>
      </c>
    </row>
    <row r="78" ht="8" customHeight="1"/>
  </sheetData>
  <mergeCells count="6">
    <mergeCell ref="A1:D1"/>
    <mergeCell ref="A4:D4"/>
    <mergeCell ref="A15:D15"/>
    <mergeCell ref="A73:D73"/>
    <mergeCell ref="A2:D2"/>
    <mergeCell ref="A47:D4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2026-06-04T14:52:30Z</dcterms:created>
  <dcterms:modified xmlns:dcterms="http://purl.org/dc/terms/" xmlns:xsi="http://www.w3.org/2001/XMLSchema-instance" xsi:type="dcterms:W3CDTF">2026-06-04T14:52:36Z</dcterms:modified>
</cp:coreProperties>
</file>