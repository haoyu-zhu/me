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利润表" sheetId="1" state="visible" r:id="rId1"/>
    <sheet xmlns:r="http://schemas.openxmlformats.org/officeDocument/2006/relationships" name="B_业务分析" sheetId="2" state="visible" r:id="rId2"/>
    <sheet xmlns:r="http://schemas.openxmlformats.org/officeDocument/2006/relationships" name="C_现金流" sheetId="3" state="visible" r:id="rId3"/>
    <sheet xmlns:r="http://schemas.openxmlformats.org/officeDocument/2006/relationships" name="D_资产负债表" sheetId="4" state="visible" r:id="rId4"/>
    <sheet xmlns:r="http://schemas.openxmlformats.org/officeDocument/2006/relationships" name="E_回报指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595959"/>
      <sz val="10"/>
    </font>
    <font>
      <name val="微软雅黑"/>
      <b val="1"/>
      <color rgb="001F3864"/>
      <sz val="12"/>
    </font>
    <font>
      <name val="微软雅黑"/>
      <b val="1"/>
      <sz val="11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营业总收入 / 毛利 / 净利润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'A_利润表'!A28</f>
            </strRef>
          </tx>
          <spPr>
            <a:ln xmlns:a="http://schemas.openxmlformats.org/drawingml/2006/main">
              <a:prstDash val="solid"/>
            </a:ln>
          </spPr>
          <cat>
            <numRef>
              <f>'A_利润表'!$B$27:$G$27</f>
            </numRef>
          </cat>
          <val>
            <numRef>
              <f>'A_利润表'!$B$28:$G$28</f>
            </numRef>
          </val>
        </ser>
        <ser>
          <idx val="1"/>
          <order val="1"/>
          <tx>
            <strRef>
              <f>'A_利润表'!A29</f>
            </strRef>
          </tx>
          <spPr>
            <a:ln xmlns:a="http://schemas.openxmlformats.org/drawingml/2006/main">
              <a:prstDash val="solid"/>
            </a:ln>
          </spPr>
          <cat>
            <numRef>
              <f>'A_利润表'!$B$27:$G$27</f>
            </numRef>
          </cat>
          <val>
            <numRef>
              <f>'A_利润表'!$B$29:$G$29</f>
            </numRef>
          </val>
        </ser>
        <ser>
          <idx val="2"/>
          <order val="2"/>
          <tx>
            <strRef>
              <f>'A_利润表'!A30</f>
            </strRef>
          </tx>
          <spPr>
            <a:ln xmlns:a="http://schemas.openxmlformats.org/drawingml/2006/main">
              <a:prstDash val="solid"/>
            </a:ln>
          </spPr>
          <cat>
            <numRef>
              <f>'A_利润表'!$B$27:$G$27</f>
            </numRef>
          </cat>
          <val>
            <numRef>
              <f>'A_利润表'!$B$30:$G$30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四费(百万美元)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'A_利润表'!A54</f>
            </strRef>
          </tx>
          <spPr>
            <a:solidFill xmlns:a="http://schemas.openxmlformats.org/drawingml/2006/main">
              <a:srgbClr val="E84855"/>
            </a:solidFill>
            <a:ln xmlns:a="http://schemas.openxmlformats.org/drawingml/2006/main" w="20000">
              <a:solidFill>
                <a:srgbClr val="E84855"/>
              </a:solidFill>
              <a:prstDash val="solid"/>
            </a:ln>
          </spPr>
          <cat>
            <numRef>
              <f>'A_利润表'!$B$53:$G$53</f>
            </numRef>
          </cat>
          <val>
            <numRef>
              <f>'A_利润表'!$B$54:$G$54</f>
            </numRef>
          </val>
        </ser>
        <ser>
          <idx val="1"/>
          <order val="1"/>
          <tx>
            <strRef>
              <f>'A_利润表'!A55</f>
            </strRef>
          </tx>
          <spPr>
            <a:solidFill xmlns:a="http://schemas.openxmlformats.org/drawingml/2006/main">
              <a:srgbClr val="3B7EA1"/>
            </a:solidFill>
            <a:ln xmlns:a="http://schemas.openxmlformats.org/drawingml/2006/main" w="20000">
              <a:solidFill>
                <a:srgbClr val="3B7EA1"/>
              </a:solidFill>
              <a:prstDash val="solid"/>
            </a:ln>
          </spPr>
          <cat>
            <numRef>
              <f>'A_利润表'!$B$53:$G$53</f>
            </numRef>
          </cat>
          <val>
            <numRef>
              <f>'A_利润表'!$B$55:$G$55</f>
            </numRef>
          </val>
        </ser>
        <ser>
          <idx val="2"/>
          <order val="2"/>
          <tx>
            <strRef>
              <f>'A_利润表'!A56</f>
            </strRef>
          </tx>
          <spPr>
            <a:solidFill xmlns:a="http://schemas.openxmlformats.org/drawingml/2006/main">
              <a:srgbClr val="5BB89E"/>
            </a:solidFill>
            <a:ln xmlns:a="http://schemas.openxmlformats.org/drawingml/2006/main" w="20000">
              <a:solidFill>
                <a:srgbClr val="5BB89E"/>
              </a:solidFill>
              <a:prstDash val="solid"/>
            </a:ln>
          </spPr>
          <cat>
            <numRef>
              <f>'A_利润表'!$B$53:$G$53</f>
            </numRef>
          </cat>
          <val>
            <numRef>
              <f>'A_利润表'!$B$56:$G$56</f>
            </numRef>
          </val>
        </ser>
        <ser>
          <idx val="3"/>
          <order val="3"/>
          <tx>
            <strRef>
              <f>'A_利润表'!A57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 w="20000">
              <a:solidFill>
                <a:srgbClr val="F5A623"/>
              </a:solidFill>
              <a:prstDash val="solid"/>
            </a:ln>
          </spPr>
          <cat>
            <numRef>
              <f>'A_利润表'!$B$53:$G$53</f>
            </numRef>
          </cat>
          <val>
            <numRef>
              <f>'A_利润表'!$B$57:$G$57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盈利比率(%)</a:t>
            </a:r>
          </a:p>
        </rich>
      </tx>
    </title>
    <plotArea>
      <lineChart>
        <grouping val="standard"/>
        <ser>
          <idx val="0"/>
          <order val="0"/>
          <tx>
            <strRef>
              <f>'A_利润表'!A81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20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'A_利润表'!$B$80:$G$80</f>
            </numRef>
          </cat>
          <val>
            <numRef>
              <f>'A_利润表'!$B$81:$G$81</f>
            </numRef>
          </val>
          <smooth val="1"/>
        </ser>
        <ser>
          <idx val="1"/>
          <order val="1"/>
          <tx>
            <strRef>
              <f>'A_利润表'!A82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'A_利润表'!$B$80:$G$80</f>
            </numRef>
          </cat>
          <val>
            <numRef>
              <f>'A_利润表'!$B$82:$G$82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四费 / 毛利(%)</a:t>
            </a:r>
          </a:p>
        </rich>
      </tx>
    </title>
    <plotArea>
      <lineChart>
        <grouping val="standard"/>
        <ser>
          <idx val="0"/>
          <order val="0"/>
          <tx>
            <strRef>
              <f>'A_利润表'!A106</f>
            </strRef>
          </tx>
          <spPr>
            <a:solidFill xmlns:a="http://schemas.openxmlformats.org/drawingml/2006/main">
              <a:srgbClr val="E84855"/>
            </a:solidFill>
            <a:ln xmlns:a="http://schemas.openxmlformats.org/drawingml/2006/main" w="20000">
              <a:solidFill>
                <a:srgbClr val="E8485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'A_利润表'!$B$105:$G$105</f>
            </numRef>
          </cat>
          <val>
            <numRef>
              <f>'A_利润表'!$B$106:$G$106</f>
            </numRef>
          </val>
          <smooth val="1"/>
        </ser>
        <ser>
          <idx val="1"/>
          <order val="1"/>
          <tx>
            <strRef>
              <f>'A_利润表'!A107</f>
            </strRef>
          </tx>
          <spPr>
            <a:solidFill xmlns:a="http://schemas.openxmlformats.org/drawingml/2006/main">
              <a:srgbClr val="3B7EA1"/>
            </a:solidFill>
            <a:ln xmlns:a="http://schemas.openxmlformats.org/drawingml/2006/main" w="20000">
              <a:solidFill>
                <a:srgbClr val="3B7EA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'A_利润表'!$B$105:$G$105</f>
            </numRef>
          </cat>
          <val>
            <numRef>
              <f>'A_利润表'!$B$107:$G$107</f>
            </numRef>
          </val>
          <smooth val="1"/>
        </ser>
        <ser>
          <idx val="2"/>
          <order val="2"/>
          <tx>
            <strRef>
              <f>'A_利润表'!A108</f>
            </strRef>
          </tx>
          <spPr>
            <a:solidFill xmlns:a="http://schemas.openxmlformats.org/drawingml/2006/main">
              <a:srgbClr val="5BB89E"/>
            </a:solidFill>
            <a:ln xmlns:a="http://schemas.openxmlformats.org/drawingml/2006/main" w="20000">
              <a:solidFill>
                <a:srgbClr val="5BB8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'A_利润表'!$B$105:$G$105</f>
            </numRef>
          </cat>
          <val>
            <numRef>
              <f>'A_利润表'!$B$108:$G$108</f>
            </numRef>
          </val>
          <smooth val="1"/>
        </ser>
        <ser>
          <idx val="3"/>
          <order val="3"/>
          <tx>
            <strRef>
              <f>'A_利润表'!A109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 w="20000">
              <a:solidFill>
                <a:srgbClr val="F5A62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'A_利润表'!$B$105:$G$105</f>
            </numRef>
          </cat>
          <val>
            <numRef>
              <f>'A_利润表'!$B$109:$G$109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占毛利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四费占毛利堆叠(%)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'A_利润表'!A133</f>
            </strRef>
          </tx>
          <spPr>
            <a:solidFill xmlns:a="http://schemas.openxmlformats.org/drawingml/2006/main">
              <a:srgbClr val="E84855"/>
            </a:solidFill>
            <a:ln xmlns:a="http://schemas.openxmlformats.org/drawingml/2006/main" w="20000">
              <a:solidFill>
                <a:srgbClr val="E84855"/>
              </a:solidFill>
              <a:prstDash val="solid"/>
            </a:ln>
          </spPr>
          <cat>
            <numRef>
              <f>'A_利润表'!$B$132:$G$132</f>
            </numRef>
          </cat>
          <val>
            <numRef>
              <f>'A_利润表'!$B$133:$G$133</f>
            </numRef>
          </val>
        </ser>
        <ser>
          <idx val="1"/>
          <order val="1"/>
          <tx>
            <strRef>
              <f>'A_利润表'!A134</f>
            </strRef>
          </tx>
          <spPr>
            <a:solidFill xmlns:a="http://schemas.openxmlformats.org/drawingml/2006/main">
              <a:srgbClr val="3B7EA1"/>
            </a:solidFill>
            <a:ln xmlns:a="http://schemas.openxmlformats.org/drawingml/2006/main" w="20000">
              <a:solidFill>
                <a:srgbClr val="3B7EA1"/>
              </a:solidFill>
              <a:prstDash val="solid"/>
            </a:ln>
          </spPr>
          <cat>
            <numRef>
              <f>'A_利润表'!$B$132:$G$132</f>
            </numRef>
          </cat>
          <val>
            <numRef>
              <f>'A_利润表'!$B$134:$G$134</f>
            </numRef>
          </val>
        </ser>
        <ser>
          <idx val="2"/>
          <order val="2"/>
          <tx>
            <strRef>
              <f>'A_利润表'!A135</f>
            </strRef>
          </tx>
          <spPr>
            <a:solidFill xmlns:a="http://schemas.openxmlformats.org/drawingml/2006/main">
              <a:srgbClr val="5BB89E"/>
            </a:solidFill>
            <a:ln xmlns:a="http://schemas.openxmlformats.org/drawingml/2006/main" w="20000">
              <a:solidFill>
                <a:srgbClr val="5BB89E"/>
              </a:solidFill>
              <a:prstDash val="solid"/>
            </a:ln>
          </spPr>
          <cat>
            <numRef>
              <f>'A_利润表'!$B$132:$G$132</f>
            </numRef>
          </cat>
          <val>
            <numRef>
              <f>'A_利润表'!$B$135:$G$135</f>
            </numRef>
          </val>
        </ser>
        <ser>
          <idx val="3"/>
          <order val="3"/>
          <tx>
            <strRef>
              <f>'A_利润表'!A136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 w="20000">
              <a:solidFill>
                <a:srgbClr val="F5A623"/>
              </a:solidFill>
              <a:prstDash val="solid"/>
            </a:ln>
          </spPr>
          <cat>
            <numRef>
              <f>'A_利润表'!$B$132:$G$132</f>
            </numRef>
          </cat>
          <val>
            <numRef>
              <f>'A_利润表'!$B$136:$G$136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占毛利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业务线收入占比(%)</a:t>
            </a:r>
          </a:p>
        </rich>
      </tx>
    </title>
    <plotArea>
      <barChart>
        <barDir val="bar"/>
        <grouping val="percentStacked"/>
        <ser>
          <idx val="0"/>
          <order val="0"/>
          <tx>
            <strRef>
              <f>'B_业务分析'!A13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20000">
              <a:solidFill>
                <a:srgbClr val="4472C4"/>
              </a:solidFill>
              <a:prstDash val="solid"/>
            </a:ln>
          </spPr>
          <cat>
            <numRef>
              <f>'B_业务分析'!$B$13:$G$13</f>
            </numRef>
          </cat>
          <val>
            <numRef>
              <f>'B_业务分析'!$B$13:$G$13</f>
            </numRef>
          </val>
        </ser>
        <ser>
          <idx val="1"/>
          <order val="1"/>
          <tx>
            <strRef>
              <f>'B_业务分析'!A14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cat>
            <numRef>
              <f>'B_业务分析'!$B$13:$G$13</f>
            </numRef>
          </cat>
          <val>
            <numRef>
              <f>'B_业务分析'!$B$14:$G$14</f>
            </numRef>
          </val>
        </ser>
        <ser>
          <idx val="2"/>
          <order val="2"/>
          <tx>
            <strRef>
              <f>'B_业务分析'!A15</f>
            </strRef>
          </tx>
          <spPr>
            <a:solidFill xmlns:a="http://schemas.openxmlformats.org/drawingml/2006/main">
              <a:srgbClr val="A9D18E"/>
            </a:solidFill>
            <a:ln xmlns:a="http://schemas.openxmlformats.org/drawingml/2006/main" w="20000">
              <a:solidFill>
                <a:srgbClr val="A9D18E"/>
              </a:solidFill>
              <a:prstDash val="solid"/>
            </a:ln>
          </spPr>
          <cat>
            <numRef>
              <f>'B_业务分析'!$B$13:$G$13</f>
            </numRef>
          </cat>
          <val>
            <numRef>
              <f>'B_业务分析'!$B$15:$G$15</f>
            </numRef>
          </val>
        </ser>
        <ser>
          <idx val="3"/>
          <order val="3"/>
          <tx>
            <strRef>
              <f>'B_业务分析'!A16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20000">
              <a:solidFill>
                <a:srgbClr val="FFC000"/>
              </a:solidFill>
              <a:prstDash val="solid"/>
            </a:ln>
          </spPr>
          <cat>
            <numRef>
              <f>'B_业务分析'!$B$13:$G$13</f>
            </numRef>
          </cat>
          <val>
            <numRef>
              <f>'B_业务分析'!$B$16:$G$16</f>
            </numRef>
          </val>
        </ser>
        <ser>
          <idx val="4"/>
          <order val="4"/>
          <tx>
            <strRef>
              <f>'B_业务分析'!A17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 w="20000">
              <a:solidFill>
                <a:srgbClr val="7030A0"/>
              </a:solidFill>
              <a:prstDash val="solid"/>
            </a:ln>
          </spPr>
          <cat>
            <numRef>
              <f>'B_业务分析'!$B$13:$G$13</f>
            </numRef>
          </cat>
          <val>
            <numRef>
              <f>'B_业务分析'!$B$17:$G$17</f>
            </numRef>
          </val>
        </ser>
        <ser>
          <idx val="5"/>
          <order val="5"/>
          <tx>
            <strRef>
              <f>'B_业务分析'!A18</f>
            </strRef>
          </tx>
          <spPr>
            <a:solidFill xmlns:a="http://schemas.openxmlformats.org/drawingml/2006/main">
              <a:srgbClr val="FF4040"/>
            </a:solidFill>
            <a:ln xmlns:a="http://schemas.openxmlformats.org/drawingml/2006/main" w="20000">
              <a:solidFill>
                <a:srgbClr val="FF4040"/>
              </a:solidFill>
              <a:prstDash val="solid"/>
            </a:ln>
          </spPr>
          <cat>
            <numRef>
              <f>'B_业务分析'!$B$13:$G$13</f>
            </numRef>
          </cat>
          <val>
            <numRef>
              <f>'B_业务分析'!$B$18:$G$18</f>
            </numRef>
          </val>
        </ser>
        <ser>
          <idx val="6"/>
          <order val="6"/>
          <tx>
            <strRef>
              <f>'B_业务分析'!A19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'B_业务分析'!$B$13:$G$13</f>
            </numRef>
          </cat>
          <val>
            <numRef>
              <f>'B_业务分析'!$B$19:$G$19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分地区收入(百万美元)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'B_业务分析'!A42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20000">
              <a:solidFill>
                <a:srgbClr val="1F4E78"/>
              </a:solidFill>
              <a:prstDash val="solid"/>
            </a:ln>
          </spPr>
          <cat>
            <numRef>
              <f>'B_业务分析'!$B$42:$G$42</f>
            </numRef>
          </cat>
          <val>
            <numRef>
              <f>'B_业务分析'!$B$42:$G$42</f>
            </numRef>
          </val>
        </ser>
        <ser>
          <idx val="1"/>
          <order val="1"/>
          <tx>
            <strRef>
              <f>'B_业务分析'!A43</f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cat>
            <numRef>
              <f>'B_业务分析'!$B$42:$G$42</f>
            </numRef>
          </cat>
          <val>
            <numRef>
              <f>'B_业务分析'!$B$43:$G$43</f>
            </numRef>
          </val>
        </ser>
        <ser>
          <idx val="2"/>
          <order val="2"/>
          <tx>
            <strRef>
              <f>'B_业务分析'!A44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cat>
            <numRef>
              <f>'B_业务分析'!$B$42:$G$42</f>
            </numRef>
          </cat>
          <val>
            <numRef>
              <f>'B_业务分析'!$B$44:$G$44</f>
            </numRef>
          </val>
        </ser>
        <ser>
          <idx val="3"/>
          <order val="3"/>
          <tx>
            <strRef>
              <f>'B_业务分析'!A45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20000">
              <a:solidFill>
                <a:srgbClr val="FFC000"/>
              </a:solidFill>
              <a:prstDash val="solid"/>
            </a:ln>
          </spPr>
          <cat>
            <numRef>
              <f>'B_业务分析'!$B$42:$G$42</f>
            </numRef>
          </cat>
          <val>
            <numRef>
              <f>'B_业务分析'!$B$45:$G$45</f>
            </numRef>
          </val>
        </ser>
        <ser>
          <idx val="4"/>
          <order val="4"/>
          <tx>
            <strRef>
              <f>'B_业务分析'!A46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 w="20000">
              <a:solidFill>
                <a:srgbClr val="7030A0"/>
              </a:solidFill>
              <a:prstDash val="solid"/>
            </a:ln>
          </spPr>
          <cat>
            <numRef>
              <f>'B_业务分析'!$B$42:$G$42</f>
            </numRef>
          </cat>
          <val>
            <numRef>
              <f>'B_业务分析'!$B$46:$G$46</f>
            </numRef>
          </val>
        </ser>
        <ser>
          <idx val="5"/>
          <order val="5"/>
          <tx>
            <strRef>
              <f>'B_业务分析'!A47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'B_业务分析'!$B$42:$G$42</f>
            </numRef>
          </cat>
          <val>
            <numRef>
              <f>'B_业务分析'!$B$47:$G$47</f>
            </numRef>
          </val>
        </ser>
        <ser>
          <idx val="6"/>
          <order val="6"/>
          <tx>
            <strRef>
              <f>'B_业务分析'!A48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'B_业务分析'!$B$42:$G$42</f>
            </numRef>
          </cat>
          <val>
            <numRef>
              <f>'B_业务分析'!$B$48:$G$48</f>
            </numRef>
          </val>
        </ser>
        <ser>
          <idx val="7"/>
          <order val="7"/>
          <tx>
            <strRef>
              <f>'B_业务分析'!A49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'B_业务分析'!$B$42:$G$42</f>
            </numRef>
          </cat>
          <val>
            <numRef>
              <f>'B_业务分析'!$B$49:$G$49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前五大集中度(%)</a:t>
            </a:r>
          </a:p>
        </rich>
      </tx>
    </title>
    <plotArea>
      <lineChart>
        <grouping val="standard"/>
        <ser>
          <idx val="0"/>
          <order val="0"/>
          <tx>
            <strRef>
              <f>'B_业务分析'!A72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'B_业务分析'!$B$72:$G$72</f>
            </numRef>
          </cat>
          <val>
            <numRef>
              <f>'B_业务分析'!$B$72:$G$72</f>
            </numRef>
          </val>
          <smooth val="1"/>
        </ser>
        <ser>
          <idx val="1"/>
          <order val="1"/>
          <tx>
            <strRef>
              <f>'B_业务分析'!A73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 w="20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'B_业务分析'!$B$72:$G$72</f>
            </numRef>
          </cat>
          <val>
            <numRef>
              <f>'B_业务分析'!$B$73:$G$73</f>
            </numRef>
          </val>
          <smooth val="1"/>
        </ser>
        <ser>
          <idx val="2"/>
          <order val="2"/>
          <tx>
            <strRef>
              <f>'B_业务分析'!A74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'B_业务分析'!$B$72:$G$72</f>
            </numRef>
          </cat>
          <val>
            <numRef>
              <f>'B_业务分析'!$B$74:$G$74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2025年客户集中度</a:t>
            </a:r>
          </a:p>
        </rich>
      </tx>
    </title>
    <plotArea>
      <pieChart>
        <varyColors val="1"/>
        <ser>
          <idx val="0"/>
          <order val="0"/>
          <tx>
            <strRef>
              <f>'B_业务分析'!B95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'B_业务分析'!$A$96:$A$97</f>
            </numRef>
          </cat>
          <val>
            <numRef>
              <f>'B_业务分析'!$B$96:$B$97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2025年供应商集中度</a:t>
            </a:r>
          </a:p>
        </rich>
      </tx>
    </title>
    <plotArea>
      <pieChart>
        <varyColors val="1"/>
        <ser>
          <idx val="0"/>
          <order val="0"/>
          <tx>
            <strRef>
              <f>'B_业务分析'!C95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'B_业务分析'!$A$96:$A$97</f>
            </numRef>
          </cat>
          <val>
            <numRef>
              <f>'B_业务分析'!$C$96:$C$97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员工总数 vs 技术人员(万人)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'B_业务分析'!A120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20000">
              <a:solidFill>
                <a:srgbClr val="1F4E78"/>
              </a:solidFill>
              <a:prstDash val="solid"/>
            </a:ln>
          </spPr>
          <cat>
            <numRef>
              <f>'B_业务分析'!$B$120:$G$120</f>
            </numRef>
          </cat>
          <val>
            <numRef>
              <f>'B_业务分析'!$B$120:$G$120</f>
            </numRef>
          </val>
        </ser>
        <ser>
          <idx val="1"/>
          <order val="1"/>
          <tx>
            <strRef>
              <f>'B_业务分析'!A121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 w="20000">
              <a:solidFill>
                <a:srgbClr val="70AD47"/>
              </a:solidFill>
              <a:prstDash val="solid"/>
            </a:ln>
          </spPr>
          <cat>
            <numRef>
              <f>'B_业务分析'!$B$120:$G$120</f>
            </numRef>
          </cat>
          <val>
            <numRef>
              <f>'B_业务分析'!$B$121:$G$121</f>
            </numRef>
          </val>
        </ser>
        <ser>
          <idx val="2"/>
          <order val="2"/>
          <tx>
            <strRef>
              <f>'B_业务分析'!A122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'B_业务分析'!$B$120:$G$120</f>
            </numRef>
          </cat>
          <val>
            <numRef>
              <f>'B_业务分析'!$B$122:$G$122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三类现金流净额(百万美元)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'C_现金流'!A6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cat>
            <numRef>
              <f>'C_现金流'!$B$5:$G$5</f>
            </numRef>
          </cat>
          <val>
            <numRef>
              <f>'C_现金流'!$B$6:$G$6</f>
            </numRef>
          </val>
        </ser>
        <ser>
          <idx val="1"/>
          <order val="1"/>
          <tx>
            <strRef>
              <f>'C_现金流'!A7</f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cat>
            <numRef>
              <f>'C_现金流'!$B$5:$G$5</f>
            </numRef>
          </cat>
          <val>
            <numRef>
              <f>'C_现金流'!$B$7:$G$7</f>
            </numRef>
          </val>
        </ser>
        <ser>
          <idx val="2"/>
          <order val="2"/>
          <tx>
            <strRef>
              <f>'C_现金流'!A8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 w="20000">
              <a:solidFill>
                <a:srgbClr val="5B9BD5"/>
              </a:solidFill>
              <a:prstDash val="solid"/>
            </a:ln>
          </spPr>
          <cat>
            <numRef>
              <f>'C_现金流'!$B$5:$G$5</f>
            </numRef>
          </cat>
          <val>
            <numRef>
              <f>'C_现金流'!$B$8:$G$8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OCF vs 净利润(百万美元)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'C_现金流'!A32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cat>
            <numRef>
              <f>'C_现金流'!$B$31:$G$31</f>
            </numRef>
          </cat>
          <val>
            <numRef>
              <f>'C_现金流'!$B$32:$G$32</f>
            </numRef>
          </val>
        </ser>
        <ser>
          <idx val="1"/>
          <order val="1"/>
          <tx>
            <strRef>
              <f>'C_现金流'!A33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20000">
              <a:solidFill>
                <a:srgbClr val="1F4E78"/>
              </a:solidFill>
              <a:prstDash val="solid"/>
            </a:ln>
          </spPr>
          <cat>
            <numRef>
              <f>'C_现金流'!$B$31:$G$31</f>
            </numRef>
          </cat>
          <val>
            <numRef>
              <f>'C_现金流'!$B$33:$G$33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资本开支 Capex(百万美元)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'C_现金流'!A58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 w="20000">
              <a:solidFill>
                <a:srgbClr val="7030A0"/>
              </a:solidFill>
              <a:prstDash val="solid"/>
            </a:ln>
          </spPr>
          <cat>
            <numRef>
              <f>'C_现金流'!$B$57:$G$57</f>
            </numRef>
          </cat>
          <val>
            <numRef>
              <f>'C_现金流'!$B$58:$G$58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自由现金流 FCF(百万美元)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'C_现金流'!A83</f>
            </strRef>
          </tx>
          <spPr>
            <a:solidFill xmlns:a="http://schemas.openxmlformats.org/drawingml/2006/main">
              <a:srgbClr val="BF9000"/>
            </a:solidFill>
            <a:ln xmlns:a="http://schemas.openxmlformats.org/drawingml/2006/main" w="20000">
              <a:solidFill>
                <a:srgbClr val="BF9000"/>
              </a:solidFill>
              <a:prstDash val="solid"/>
            </a:ln>
          </spPr>
          <cat>
            <numRef>
              <f>'C_现金流'!$B$82:$G$82</f>
            </numRef>
          </cat>
          <val>
            <numRef>
              <f>'C_现金流'!$B$83:$G$83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股东回报(百万美元)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'C_现金流'!A108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cat>
            <numRef>
              <f>'C_现金流'!$B$107:$G$107</f>
            </numRef>
          </cat>
          <val>
            <numRef>
              <f>'C_现金流'!$B$108:$G$108</f>
            </numRef>
          </val>
        </ser>
        <ser>
          <idx val="1"/>
          <order val="1"/>
          <tx>
            <strRef>
              <f>'C_现金流'!A109</f>
            </strRef>
          </tx>
          <spPr>
            <a:solidFill xmlns:a="http://schemas.openxmlformats.org/drawingml/2006/main">
              <a:srgbClr val="806000"/>
            </a:solidFill>
            <a:ln xmlns:a="http://schemas.openxmlformats.org/drawingml/2006/main" w="20000">
              <a:solidFill>
                <a:srgbClr val="806000"/>
              </a:solidFill>
              <a:prstDash val="solid"/>
            </a:ln>
          </spPr>
          <cat>
            <numRef>
              <f>'C_现金流'!$B$107:$G$107</f>
            </numRef>
          </cat>
          <val>
            <numRef>
              <f>'C_现金流'!$B$109:$G$109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期末现金及等价物余额(百万美元)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'C_现金流'!A134</f>
            </strRef>
          </tx>
          <spPr>
            <a:solidFill xmlns:a="http://schemas.openxmlformats.org/drawingml/2006/main">
              <a:srgbClr val="385723"/>
            </a:solidFill>
            <a:ln xmlns:a="http://schemas.openxmlformats.org/drawingml/2006/main" w="20000">
              <a:solidFill>
                <a:srgbClr val="385723"/>
              </a:solidFill>
              <a:prstDash val="solid"/>
            </a:ln>
          </spPr>
          <cat>
            <numRef>
              <f>'C_现金流'!$B$133:$G$133</f>
            </numRef>
          </cat>
          <val>
            <numRef>
              <f>'C_现金流'!$B$134:$G$134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资产 / 负债 / 所有者权益(百万美元)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'D_资产负债表'!A6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cat>
            <numRef>
              <f>'D_资产负债表'!$B$5:$G$5</f>
            </numRef>
          </cat>
          <val>
            <numRef>
              <f>'D_资产负债表'!$B$6:$G$6</f>
            </numRef>
          </val>
        </ser>
        <ser>
          <idx val="1"/>
          <order val="1"/>
          <tx>
            <strRef>
              <f>'D_资产负债表'!A7</f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cat>
            <numRef>
              <f>'D_资产负债表'!$B$5:$G$5</f>
            </numRef>
          </cat>
          <val>
            <numRef>
              <f>'D_资产负债表'!$B$7:$G$7</f>
            </numRef>
          </val>
        </ser>
        <ser>
          <idx val="2"/>
          <order val="2"/>
          <tx>
            <strRef>
              <f>'D_资产负债表'!A8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cat>
            <numRef>
              <f>'D_资产负债表'!$B$5:$G$5</f>
            </numRef>
          </cat>
          <val>
            <numRef>
              <f>'D_资产负债表'!$B$8:$G$8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杠杆趋势(%)</a:t>
            </a:r>
          </a:p>
        </rich>
      </tx>
    </title>
    <plotArea>
      <lineChart>
        <grouping val="standard"/>
        <ser>
          <idx val="0"/>
          <order val="0"/>
          <tx>
            <strRef>
              <f>'D_资产负债表'!A33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'D_资产负债表'!$B$32:$G$32</f>
            </numRef>
          </cat>
          <val>
            <numRef>
              <f>'D_资产负债表'!$B$33:$G$33</f>
            </numRef>
          </val>
          <smooth val="1"/>
        </ser>
        <ser>
          <idx val="1"/>
          <order val="1"/>
          <tx>
            <strRef>
              <f>'D_资产负债表'!A34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'D_资产负债表'!$B$32:$G$32</f>
            </numRef>
          </cat>
          <val>
            <numRef>
              <f>'D_资产负债表'!$B$34:$G$34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有息负债结构(百万美元)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'D_资产负债表'!A58</f>
            </strRef>
          </tx>
          <spPr>
            <a:solidFill xmlns:a="http://schemas.openxmlformats.org/drawingml/2006/main">
              <a:srgbClr val="E84855"/>
            </a:solidFill>
            <a:ln xmlns:a="http://schemas.openxmlformats.org/drawingml/2006/main" w="20000">
              <a:solidFill>
                <a:srgbClr val="E84855"/>
              </a:solidFill>
              <a:prstDash val="solid"/>
            </a:ln>
          </spPr>
          <cat>
            <numRef>
              <f>'D_资产负债表'!$B$57:$G$57</f>
            </numRef>
          </cat>
          <val>
            <numRef>
              <f>'D_资产负债表'!$B$58:$G$58</f>
            </numRef>
          </val>
        </ser>
        <ser>
          <idx val="1"/>
          <order val="1"/>
          <tx>
            <strRef>
              <f>'D_资产负债表'!A59</f>
            </strRef>
          </tx>
          <spPr>
            <a:solidFill xmlns:a="http://schemas.openxmlformats.org/drawingml/2006/main">
              <a:srgbClr val="F4978E"/>
            </a:solidFill>
            <a:ln xmlns:a="http://schemas.openxmlformats.org/drawingml/2006/main" w="20000">
              <a:solidFill>
                <a:srgbClr val="F4978E"/>
              </a:solidFill>
              <a:prstDash val="solid"/>
            </a:ln>
          </spPr>
          <cat>
            <numRef>
              <f>'D_资产负债表'!$B$57:$G$57</f>
            </numRef>
          </cat>
          <val>
            <numRef>
              <f>'D_资产负债表'!$B$59:$G$59</f>
            </numRef>
          </val>
        </ser>
        <ser>
          <idx val="2"/>
          <order val="2"/>
          <tx>
            <strRef>
              <f>'D_资产负债表'!A60</f>
            </strRef>
          </tx>
          <spPr>
            <a:solidFill xmlns:a="http://schemas.openxmlformats.org/drawingml/2006/main">
              <a:srgbClr val="8B0000"/>
            </a:solidFill>
            <a:ln xmlns:a="http://schemas.openxmlformats.org/drawingml/2006/main" w="20000">
              <a:solidFill>
                <a:srgbClr val="8B0000"/>
              </a:solidFill>
              <a:prstDash val="solid"/>
            </a:ln>
          </spPr>
          <cat>
            <numRef>
              <f>'D_资产负债表'!$B$57:$G$57</f>
            </numRef>
          </cat>
          <val>
            <numRef>
              <f>'D_资产负债表'!$B$60:$G$60</f>
            </numRef>
          </val>
        </ser>
        <ser>
          <idx val="3"/>
          <order val="3"/>
          <tx>
            <strRef>
              <f>'D_资产负债表'!A61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 w="20000">
              <a:solidFill>
                <a:srgbClr val="F5A623"/>
              </a:solidFill>
              <a:prstDash val="solid"/>
            </a:ln>
          </spPr>
          <cat>
            <numRef>
              <f>'D_资产负债表'!$B$57:$G$57</f>
            </numRef>
          </cat>
          <val>
            <numRef>
              <f>'D_资产负债表'!$B$61:$G$61</f>
            </numRef>
          </val>
        </ser>
        <ser>
          <idx val="4"/>
          <order val="4"/>
          <tx>
            <strRef>
              <f>'D_资产负债表'!A62</f>
            </strRef>
          </tx>
          <spPr>
            <a:solidFill xmlns:a="http://schemas.openxmlformats.org/drawingml/2006/main">
              <a:srgbClr val="9C6B30"/>
            </a:solidFill>
            <a:ln xmlns:a="http://schemas.openxmlformats.org/drawingml/2006/main" w="20000">
              <a:solidFill>
                <a:srgbClr val="9C6B30"/>
              </a:solidFill>
              <a:prstDash val="solid"/>
            </a:ln>
          </spPr>
          <cat>
            <numRef>
              <f>'D_资产负债表'!$B$57:$G$57</f>
            </numRef>
          </cat>
          <val>
            <numRef>
              <f>'D_资产负债表'!$B$62:$G$62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营运资本周转(天)</a:t>
            </a:r>
          </a:p>
        </rich>
      </tx>
    </title>
    <plotArea>
      <lineChart>
        <grouping val="standard"/>
        <ser>
          <idx val="0"/>
          <order val="0"/>
          <tx>
            <strRef>
              <f>'D_资产负债表'!A89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 w="20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'D_资产负债表'!$B$88:$G$88</f>
            </numRef>
          </cat>
          <val>
            <numRef>
              <f>'D_资产负债表'!$B$89:$G$89</f>
            </numRef>
          </val>
          <smooth val="1"/>
        </ser>
        <ser>
          <idx val="1"/>
          <order val="1"/>
          <tx>
            <strRef>
              <f>'D_资产负债表'!A90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20000">
              <a:solidFill>
                <a:srgbClr val="FFC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'D_资产负债表'!$B$88:$G$88</f>
            </numRef>
          </cat>
          <val>
            <numRef>
              <f>'D_资产负债表'!$B$90:$G$90</f>
            </numRef>
          </val>
          <smooth val="1"/>
        </ser>
        <ser>
          <idx val="2"/>
          <order val="2"/>
          <tx>
            <strRef>
              <f>'D_资产负债表'!A91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'D_资产负债表'!$B$88:$G$88</f>
            </numRef>
          </cat>
          <val>
            <numRef>
              <f>'D_资产负债表'!$B$91:$G$91</f>
            </numRef>
          </val>
          <smooth val="1"/>
        </ser>
        <ser>
          <idx val="3"/>
          <order val="3"/>
          <tx>
            <strRef>
              <f>'D_资产负债表'!A92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 w="200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'D_资产负债表'!$B$88:$G$88</f>
            </numRef>
          </cat>
          <val>
            <numRef>
              <f>'D_资产负债表'!$B$92:$G$92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2025年末资产结构</a:t>
            </a:r>
          </a:p>
        </rich>
      </tx>
    </title>
    <plotArea>
      <pieChart>
        <varyColors val="1"/>
        <ser>
          <idx val="0"/>
          <order val="0"/>
          <tx>
            <strRef>
              <f>'D_资产负债表'!B115</f>
            </strRef>
          </tx>
          <spPr>
            <a:ln xmlns:a="http://schemas.openxmlformats.org/drawingml/2006/main">
              <a:prstDash val="solid"/>
            </a:ln>
          </spPr>
          <cat>
            <numRef>
              <f>'D_资产负债表'!$A$116:$A$122</f>
            </numRef>
          </cat>
          <val>
            <numRef>
              <f>'D_资产负债表'!$B$116:$B$122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回报指标趋势(%)</a:t>
            </a:r>
          </a:p>
        </rich>
      </tx>
    </title>
    <plotArea>
      <lineChart>
        <grouping val="standard"/>
        <ser>
          <idx val="0"/>
          <order val="0"/>
          <tx>
            <strRef>
              <f>'E_回报指标'!A6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20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'E_回报指标'!$B$5:$G$5</f>
            </numRef>
          </cat>
          <val>
            <numRef>
              <f>'E_回报指标'!$B$6:$G$6</f>
            </numRef>
          </val>
          <smooth val="1"/>
        </ser>
        <ser>
          <idx val="1"/>
          <order val="1"/>
          <tx>
            <strRef>
              <f>'E_回报指标'!A7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'E_回报指标'!$B$5:$G$5</f>
            </numRef>
          </cat>
          <val>
            <numRef>
              <f>'E_回报指标'!$B$7:$G$7</f>
            </numRef>
          </val>
          <smooth val="1"/>
        </ser>
        <ser>
          <idx val="2"/>
          <order val="2"/>
          <tx>
            <strRef>
              <f>'E_回报指标'!A8</f>
            </strRef>
          </tx>
          <spPr>
            <a:solidFill xmlns:a="http://schemas.openxmlformats.org/drawingml/2006/main">
              <a:srgbClr val="BF9000"/>
            </a:solidFill>
            <a:ln xmlns:a="http://schemas.openxmlformats.org/drawingml/2006/main" w="20000">
              <a:solidFill>
                <a:srgbClr val="BF9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'E_回报指标'!$B$5:$G$5</f>
            </numRef>
          </cat>
          <val>
            <numRef>
              <f>'E_回报指标'!$B$8:$G$8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杜邦三因子分解</a:t>
            </a:r>
          </a:p>
        </rich>
      </tx>
    </title>
    <plotArea>
      <lineChart>
        <grouping val="standard"/>
        <ser>
          <idx val="0"/>
          <order val="0"/>
          <tx>
            <strRef>
              <f>'E_回报指标'!A32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'E_回报指标'!$B$31:$G$31</f>
            </numRef>
          </cat>
          <val>
            <numRef>
              <f>'E_回报指标'!$B$32:$G$32</f>
            </numRef>
          </val>
          <smooth val="1"/>
        </ser>
        <ser>
          <idx val="1"/>
          <order val="1"/>
          <tx>
            <strRef>
              <f>'E_回报指标'!A33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'E_回报指标'!$B$31:$G$31</f>
            </numRef>
          </cat>
          <val>
            <numRef>
              <f>'E_回报指标'!$B$33:$G$33</f>
            </numRef>
          </val>
          <smooth val="1"/>
        </ser>
        <ser>
          <idx val="2"/>
          <order val="2"/>
          <tx>
            <strRef>
              <f>'E_回报指标'!A34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'E_回报指标'!$B$31:$G$31</f>
            </numRef>
          </cat>
          <val>
            <numRef>
              <f>'E_回报指标'!$B$34:$G$34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%(净利率)/ 次 / 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Relationship Type="http://schemas.openxmlformats.org/officeDocument/2006/relationships/chart" Target="/xl/charts/chart9.xml" Id="rId4"/><Relationship Type="http://schemas.openxmlformats.org/officeDocument/2006/relationships/chart" Target="/xl/charts/chart10.xml" Id="rId5"/><Relationship Type="http://schemas.openxmlformats.org/officeDocument/2006/relationships/chart" Target="/xl/charts/chart11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2.xml" Id="rId1"/><Relationship Type="http://schemas.openxmlformats.org/officeDocument/2006/relationships/chart" Target="/xl/charts/chart13.xml" Id="rId2"/><Relationship Type="http://schemas.openxmlformats.org/officeDocument/2006/relationships/chart" Target="/xl/charts/chart14.xml" Id="rId3"/><Relationship Type="http://schemas.openxmlformats.org/officeDocument/2006/relationships/chart" Target="/xl/charts/chart15.xml" Id="rId4"/><Relationship Type="http://schemas.openxmlformats.org/officeDocument/2006/relationships/chart" Target="/xl/charts/chart16.xml" Id="rId5"/><Relationship Type="http://schemas.openxmlformats.org/officeDocument/2006/relationships/chart" Target="/xl/charts/chart17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3.xml" Id="rId1"/><Relationship Type="http://schemas.openxmlformats.org/officeDocument/2006/relationships/chart" Target="/xl/charts/chart24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58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83</row>
      <rowOff>0</rowOff>
    </from>
    <ext cx="792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110</row>
      <rowOff>0</rowOff>
    </from>
    <ext cx="792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137</row>
      <rowOff>0</rowOff>
    </from>
    <ext cx="7920000" cy="34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3</row>
      <rowOff>0</rowOff>
    </from>
    <ext cx="8286750" cy="2838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20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50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75</row>
      <rowOff>0</rowOff>
    </from>
    <ext cx="792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98</row>
      <rowOff>0</rowOff>
    </from>
    <ext cx="396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</col>
      <colOff>0</colOff>
      <row>98</row>
      <rowOff>0</rowOff>
    </from>
    <ext cx="3960000" cy="34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125</row>
      <rowOff>0</rowOff>
    </from>
    <ext cx="7920000" cy="34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35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60</row>
      <rowOff>0</rowOff>
    </from>
    <ext cx="792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85</row>
      <rowOff>0</rowOff>
    </from>
    <ext cx="792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111</row>
      <rowOff>0</rowOff>
    </from>
    <ext cx="7920000" cy="34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136</row>
      <rowOff>0</rowOff>
    </from>
    <ext cx="7920000" cy="34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10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35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66</row>
      <rowOff>0</rowOff>
    </from>
    <ext cx="792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93</row>
      <rowOff>0</rowOff>
    </from>
    <ext cx="792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123</row>
      <rowOff>0</rowOff>
    </from>
    <ext cx="7920000" cy="34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35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</cols>
  <sheetData>
    <row r="1" ht="30" customHeight="1">
      <c r="A1" s="1" t="inlineStr">
        <is>
          <t>Advanced Micro Devices, Inc. 2020-2025 利润表(A 类)</t>
        </is>
      </c>
    </row>
    <row r="2" ht="22" customHeight="1">
      <c r="A2" s="2" t="inlineStr">
        <is>
          <t>数据源:2020.json, 2021.json, 2022.json, 2023.json, 2024.json, 2025.json    |    金额单位:百万美元    |    比率单位:%</t>
        </is>
      </c>
    </row>
    <row r="3" ht="26" customHeight="1">
      <c r="A3" s="3" t="inlineStr">
        <is>
          <t>0. 收支拆解(2025年)  — 收入=橙 / 成本=蓝 / 利润=红 / 净利=绿</t>
        </is>
      </c>
    </row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8" customHeight="1"/>
    <row r="25" ht="8" customHeight="1"/>
    <row r="26" ht="26" customHeight="1">
      <c r="A26" s="3" t="inlineStr">
        <is>
          <t>1. 营业收入 / 毛利 / 净利润(百万美元)</t>
        </is>
      </c>
    </row>
    <row r="27" ht="36" customHeight="1">
      <c r="A27" s="4" t="inlineStr">
        <is>
          <t>指标(百万美元)</t>
        </is>
      </c>
      <c r="B27" s="4" t="inlineStr">
        <is>
          <t>2020</t>
        </is>
      </c>
      <c r="C27" s="4" t="inlineStr">
        <is>
          <t>2021</t>
        </is>
      </c>
      <c r="D27" s="4" t="inlineStr">
        <is>
          <t>2022</t>
        </is>
      </c>
      <c r="E27" s="4" t="inlineStr">
        <is>
          <t>2023</t>
        </is>
      </c>
      <c r="F27" s="4" t="inlineStr">
        <is>
          <t>2024</t>
        </is>
      </c>
      <c r="G27" s="4" t="inlineStr">
        <is>
          <t>2025</t>
        </is>
      </c>
    </row>
    <row r="28" ht="22" customHeight="1">
      <c r="A28" s="5" t="inlineStr">
        <is>
          <t>营业总收入</t>
        </is>
      </c>
      <c r="B28" s="6" t="n">
        <v>9763</v>
      </c>
      <c r="C28" s="6" t="n">
        <v>16434</v>
      </c>
      <c r="D28" s="6" t="n">
        <v>23601</v>
      </c>
      <c r="E28" s="6" t="n">
        <v>22680</v>
      </c>
      <c r="F28" s="6" t="n">
        <v>25785</v>
      </c>
      <c r="G28" s="6" t="n">
        <v>34639</v>
      </c>
    </row>
    <row r="29" ht="22" customHeight="1">
      <c r="A29" s="5" t="inlineStr">
        <is>
          <t>毛利</t>
        </is>
      </c>
      <c r="B29" s="6" t="n">
        <v>4347</v>
      </c>
      <c r="C29" s="6" t="n">
        <v>7929</v>
      </c>
      <c r="D29" s="6" t="n">
        <v>10603</v>
      </c>
      <c r="E29" s="6" t="n">
        <v>10460</v>
      </c>
      <c r="F29" s="6" t="n">
        <v>12725</v>
      </c>
      <c r="G29" s="6" t="n">
        <v>17152</v>
      </c>
    </row>
    <row r="30" ht="22" customHeight="1">
      <c r="A30" s="5" t="inlineStr">
        <is>
          <t>净利润(合并)</t>
        </is>
      </c>
      <c r="B30" s="6" t="n">
        <v>2490</v>
      </c>
      <c r="C30" s="6" t="n">
        <v>3162</v>
      </c>
      <c r="D30" s="6" t="n">
        <v>1320</v>
      </c>
      <c r="E30" s="6" t="n">
        <v>854</v>
      </c>
      <c r="F30" s="6" t="n">
        <v>1641</v>
      </c>
      <c r="G30" s="6" t="n">
        <v>4335</v>
      </c>
    </row>
    <row r="31" ht="8" customHeight="1"/>
    <row r="51" ht="8" customHeight="1"/>
    <row r="52" ht="26" customHeight="1">
      <c r="A52" s="3" t="inlineStr">
        <is>
          <t>2. 四费(销售 / 管理 / 研发 / 财务,百万美元)</t>
        </is>
      </c>
    </row>
    <row r="53" ht="36" customHeight="1">
      <c r="A53" s="4" t="inlineStr">
        <is>
          <t>指标(百万美元)</t>
        </is>
      </c>
      <c r="B53" s="4" t="inlineStr">
        <is>
          <t>2020</t>
        </is>
      </c>
      <c r="C53" s="4" t="inlineStr">
        <is>
          <t>2021</t>
        </is>
      </c>
      <c r="D53" s="4" t="inlineStr">
        <is>
          <t>2022</t>
        </is>
      </c>
      <c r="E53" s="4" t="inlineStr">
        <is>
          <t>2023</t>
        </is>
      </c>
      <c r="F53" s="4" t="inlineStr">
        <is>
          <t>2024</t>
        </is>
      </c>
      <c r="G53" s="4" t="inlineStr">
        <is>
          <t>2025</t>
        </is>
      </c>
    </row>
    <row r="54" ht="22" customHeight="1">
      <c r="A54" s="5" t="inlineStr">
        <is>
          <t>销售费用</t>
        </is>
      </c>
      <c r="B54" s="6" t="n"/>
      <c r="C54" s="6" t="n"/>
      <c r="D54" s="6" t="n"/>
      <c r="E54" s="6" t="n"/>
      <c r="F54" s="6" t="n"/>
      <c r="G54" s="6" t="n"/>
    </row>
    <row r="55" ht="22" customHeight="1">
      <c r="A55" s="5" t="inlineStr">
        <is>
          <t>管理费用</t>
        </is>
      </c>
      <c r="B55" s="6" t="n">
        <v>995</v>
      </c>
      <c r="C55" s="6" t="n">
        <v>1448</v>
      </c>
      <c r="D55" s="6" t="n">
        <v>2336</v>
      </c>
      <c r="E55" s="6" t="n">
        <v>2352</v>
      </c>
      <c r="F55" s="6" t="n">
        <v>2783</v>
      </c>
      <c r="G55" s="6" t="n">
        <v>4144</v>
      </c>
    </row>
    <row r="56" ht="22" customHeight="1">
      <c r="A56" s="5" t="inlineStr">
        <is>
          <t>研发费用</t>
        </is>
      </c>
      <c r="B56" s="6" t="n">
        <v>1983</v>
      </c>
      <c r="C56" s="6" t="n">
        <v>2845</v>
      </c>
      <c r="D56" s="6" t="n">
        <v>5005</v>
      </c>
      <c r="E56" s="6" t="n">
        <v>5872</v>
      </c>
      <c r="F56" s="6" t="n">
        <v>6456</v>
      </c>
      <c r="G56" s="6" t="n">
        <v>8091</v>
      </c>
    </row>
    <row r="57" ht="22" customHeight="1">
      <c r="A57" s="5" t="inlineStr">
        <is>
          <t>财务费用(净)</t>
        </is>
      </c>
      <c r="B57" s="6" t="n"/>
      <c r="C57" s="6" t="n"/>
      <c r="D57" s="6" t="n"/>
      <c r="E57" s="6" t="n"/>
      <c r="F57" s="6" t="n"/>
      <c r="G57" s="6" t="n"/>
    </row>
    <row r="58" ht="8" customHeight="1"/>
    <row r="78" ht="8" customHeight="1"/>
    <row r="79" ht="26" customHeight="1">
      <c r="A79" s="3" t="inlineStr">
        <is>
          <t>3. 盈利比率(毛利率 / 净利率)</t>
        </is>
      </c>
    </row>
    <row r="80" ht="36" customHeight="1">
      <c r="A80" s="4" t="inlineStr">
        <is>
          <t>比率 (%)</t>
        </is>
      </c>
      <c r="B80" s="4" t="inlineStr">
        <is>
          <t>2020</t>
        </is>
      </c>
      <c r="C80" s="4" t="inlineStr">
        <is>
          <t>2021</t>
        </is>
      </c>
      <c r="D80" s="4" t="inlineStr">
        <is>
          <t>2022</t>
        </is>
      </c>
      <c r="E80" s="4" t="inlineStr">
        <is>
          <t>2023</t>
        </is>
      </c>
      <c r="F80" s="4" t="inlineStr">
        <is>
          <t>2024</t>
        </is>
      </c>
      <c r="G80" s="4" t="inlineStr">
        <is>
          <t>2025</t>
        </is>
      </c>
    </row>
    <row r="81" ht="22" customHeight="1">
      <c r="A81" s="5" t="inlineStr">
        <is>
          <t>毛利率</t>
        </is>
      </c>
      <c r="B81" s="6" t="n">
        <v>44.53</v>
      </c>
      <c r="C81" s="6" t="n">
        <v>48.25</v>
      </c>
      <c r="D81" s="6" t="n">
        <v>44.93</v>
      </c>
      <c r="E81" s="6" t="n">
        <v>46.12</v>
      </c>
      <c r="F81" s="6" t="n">
        <v>49.35</v>
      </c>
      <c r="G81" s="6" t="n">
        <v>49.52</v>
      </c>
    </row>
    <row r="82" ht="22" customHeight="1">
      <c r="A82" s="5" t="inlineStr">
        <is>
          <t>净利率</t>
        </is>
      </c>
      <c r="B82" s="6" t="n">
        <v>25.5</v>
      </c>
      <c r="C82" s="6" t="n">
        <v>19.24</v>
      </c>
      <c r="D82" s="6" t="n">
        <v>5.59</v>
      </c>
      <c r="E82" s="6" t="n">
        <v>3.77</v>
      </c>
      <c r="F82" s="6" t="n">
        <v>6.36</v>
      </c>
      <c r="G82" s="6" t="n">
        <v>12.51</v>
      </c>
    </row>
    <row r="83" ht="8" customHeight="1"/>
    <row r="103" ht="8" customHeight="1"/>
    <row r="104" ht="26" customHeight="1">
      <c r="A104" s="3" t="inlineStr">
        <is>
          <t>4. 四费/毛利(销售 / 管理 / 研发 / 财务 占毛利,%)</t>
        </is>
      </c>
    </row>
    <row r="105" ht="36" customHeight="1">
      <c r="A105" s="4" t="inlineStr">
        <is>
          <t>占毛利 (%)</t>
        </is>
      </c>
      <c r="B105" s="4" t="inlineStr">
        <is>
          <t>2020</t>
        </is>
      </c>
      <c r="C105" s="4" t="inlineStr">
        <is>
          <t>2021</t>
        </is>
      </c>
      <c r="D105" s="4" t="inlineStr">
        <is>
          <t>2022</t>
        </is>
      </c>
      <c r="E105" s="4" t="inlineStr">
        <is>
          <t>2023</t>
        </is>
      </c>
      <c r="F105" s="4" t="inlineStr">
        <is>
          <t>2024</t>
        </is>
      </c>
      <c r="G105" s="4" t="inlineStr">
        <is>
          <t>2025</t>
        </is>
      </c>
    </row>
    <row r="106" ht="22" customHeight="1">
      <c r="A106" s="5" t="inlineStr">
        <is>
          <t>销售/毛利</t>
        </is>
      </c>
      <c r="B106" s="6" t="n"/>
      <c r="C106" s="6" t="n"/>
      <c r="D106" s="6" t="n"/>
      <c r="E106" s="6" t="n"/>
      <c r="F106" s="6" t="n"/>
      <c r="G106" s="6" t="n"/>
    </row>
    <row r="107" ht="22" customHeight="1">
      <c r="A107" s="5" t="inlineStr">
        <is>
          <t>管理/毛利</t>
        </is>
      </c>
      <c r="B107" s="6" t="n">
        <v>22.89</v>
      </c>
      <c r="C107" s="6" t="n">
        <v>18.26</v>
      </c>
      <c r="D107" s="6" t="n">
        <v>22.03</v>
      </c>
      <c r="E107" s="6" t="n">
        <v>22.49</v>
      </c>
      <c r="F107" s="6" t="n">
        <v>21.87</v>
      </c>
      <c r="G107" s="6" t="n">
        <v>24.16</v>
      </c>
    </row>
    <row r="108" ht="22" customHeight="1">
      <c r="A108" s="5" t="inlineStr">
        <is>
          <t>研发/毛利</t>
        </is>
      </c>
      <c r="B108" s="6" t="n">
        <v>45.62</v>
      </c>
      <c r="C108" s="6" t="n">
        <v>35.88</v>
      </c>
      <c r="D108" s="6" t="n">
        <v>47.2</v>
      </c>
      <c r="E108" s="6" t="n">
        <v>56.14</v>
      </c>
      <c r="F108" s="6" t="n">
        <v>50.73</v>
      </c>
      <c r="G108" s="6" t="n">
        <v>47.17</v>
      </c>
    </row>
    <row r="109" ht="22" customHeight="1">
      <c r="A109" s="5" t="inlineStr">
        <is>
          <t>财务/毛利</t>
        </is>
      </c>
      <c r="B109" s="6" t="n"/>
      <c r="C109" s="6" t="n"/>
      <c r="D109" s="6" t="n"/>
      <c r="E109" s="6" t="n"/>
      <c r="F109" s="6" t="n"/>
      <c r="G109" s="6" t="n"/>
    </row>
    <row r="110" ht="8" customHeight="1"/>
    <row r="130" ht="8" customHeight="1"/>
    <row r="131" ht="26" customHeight="1">
      <c r="A131" s="3" t="inlineStr">
        <is>
          <t>5. 四费占毛利堆叠(%)</t>
        </is>
      </c>
    </row>
    <row r="132" ht="36" customHeight="1">
      <c r="A132" s="4" t="inlineStr">
        <is>
          <t>占毛利 (%)</t>
        </is>
      </c>
      <c r="B132" s="4" t="inlineStr">
        <is>
          <t>2020</t>
        </is>
      </c>
      <c r="C132" s="4" t="inlineStr">
        <is>
          <t>2021</t>
        </is>
      </c>
      <c r="D132" s="4" t="inlineStr">
        <is>
          <t>2022</t>
        </is>
      </c>
      <c r="E132" s="4" t="inlineStr">
        <is>
          <t>2023</t>
        </is>
      </c>
      <c r="F132" s="4" t="inlineStr">
        <is>
          <t>2024</t>
        </is>
      </c>
      <c r="G132" s="4" t="inlineStr">
        <is>
          <t>2025</t>
        </is>
      </c>
    </row>
    <row r="133" ht="22" customHeight="1">
      <c r="A133" s="5" t="inlineStr">
        <is>
          <t>销售/毛利</t>
        </is>
      </c>
      <c r="B133" s="6" t="n"/>
      <c r="C133" s="6" t="n"/>
      <c r="D133" s="6" t="n"/>
      <c r="E133" s="6" t="n"/>
      <c r="F133" s="6" t="n"/>
      <c r="G133" s="6" t="n"/>
    </row>
    <row r="134" ht="22" customHeight="1">
      <c r="A134" s="5" t="inlineStr">
        <is>
          <t>管理/毛利</t>
        </is>
      </c>
      <c r="B134" s="6" t="n">
        <v>22.89</v>
      </c>
      <c r="C134" s="6" t="n">
        <v>18.26</v>
      </c>
      <c r="D134" s="6" t="n">
        <v>22.03</v>
      </c>
      <c r="E134" s="6" t="n">
        <v>22.49</v>
      </c>
      <c r="F134" s="6" t="n">
        <v>21.87</v>
      </c>
      <c r="G134" s="6" t="n">
        <v>24.16</v>
      </c>
    </row>
    <row r="135" ht="22" customHeight="1">
      <c r="A135" s="5" t="inlineStr">
        <is>
          <t>研发/毛利</t>
        </is>
      </c>
      <c r="B135" s="6" t="n">
        <v>45.62</v>
      </c>
      <c r="C135" s="6" t="n">
        <v>35.88</v>
      </c>
      <c r="D135" s="6" t="n">
        <v>47.2</v>
      </c>
      <c r="E135" s="6" t="n">
        <v>56.14</v>
      </c>
      <c r="F135" s="6" t="n">
        <v>50.73</v>
      </c>
      <c r="G135" s="6" t="n">
        <v>47.17</v>
      </c>
    </row>
    <row r="136" ht="22" customHeight="1">
      <c r="A136" s="5" t="inlineStr">
        <is>
          <t>财务/毛利</t>
        </is>
      </c>
      <c r="B136" s="6" t="n"/>
      <c r="C136" s="6" t="n"/>
      <c r="D136" s="6" t="n"/>
      <c r="E136" s="6" t="n"/>
      <c r="F136" s="6" t="n"/>
      <c r="G136" s="6" t="n"/>
    </row>
    <row r="137" ht="8" customHeight="1"/>
    <row r="157" ht="8" customHeight="1"/>
    <row r="158" ht="26" customHeight="1">
      <c r="A158" s="3" t="inlineStr">
        <is>
          <t>6. 数据质量(追溯重述记录)</t>
        </is>
      </c>
    </row>
    <row r="159" ht="22" customHeight="1">
      <c r="A159" s="7" t="inlineStr">
        <is>
          <t>未检测到重述</t>
        </is>
      </c>
    </row>
  </sheetData>
  <mergeCells count="10">
    <mergeCell ref="A159:G159"/>
    <mergeCell ref="A1:G1"/>
    <mergeCell ref="A79:G79"/>
    <mergeCell ref="A158:G158"/>
    <mergeCell ref="A3:G3"/>
    <mergeCell ref="A131:G131"/>
    <mergeCell ref="A26:G26"/>
    <mergeCell ref="A2:G2"/>
    <mergeCell ref="A52:G52"/>
    <mergeCell ref="A104:G10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</cols>
  <sheetData>
    <row r="1" ht="30" customHeight="1">
      <c r="A1" s="1" t="inlineStr">
        <is>
          <t>Advanced Micro Devices, Inc. 2020-2025 业务分析(B 类)</t>
        </is>
      </c>
    </row>
    <row r="2" ht="22" customHeight="1">
      <c r="A2" s="2" t="inlineStr">
        <is>
          <t>数据源:2020.json, 2021.json, 2022.json, 2023.json, 2024.json, 2025.json    |    金额单位:百万美元    |    比率单位:%</t>
        </is>
      </c>
    </row>
    <row r="3" ht="8" customHeight="1"/>
    <row r="4" ht="26" customHeight="1">
      <c r="A4" s="3" t="inlineStr">
        <is>
          <t>1. 分业务线收入(百万美元) + 毛利率(%)</t>
        </is>
      </c>
    </row>
    <row r="5" ht="36" customHeight="1">
      <c r="A5" s="4" t="inlineStr">
        <is>
          <t>业务线(百万美元)</t>
        </is>
      </c>
      <c r="B5" s="4" t="inlineStr">
        <is>
          <t>2020</t>
        </is>
      </c>
      <c r="C5" s="4" t="inlineStr">
        <is>
          <t>2021</t>
        </is>
      </c>
      <c r="D5" s="4" t="inlineStr">
        <is>
          <t>2022</t>
        </is>
      </c>
      <c r="E5" s="4" t="inlineStr">
        <is>
          <t>2023</t>
        </is>
      </c>
      <c r="F5" s="4" t="inlineStr">
        <is>
          <t>2024</t>
        </is>
      </c>
      <c r="G5" s="4" t="inlineStr">
        <is>
          <t>2025</t>
        </is>
      </c>
    </row>
    <row r="6" ht="22" customHeight="1">
      <c r="A6" s="5" t="inlineStr">
        <is>
          <t>Data Center</t>
        </is>
      </c>
      <c r="B6" s="6" t="n"/>
      <c r="C6" s="6" t="n"/>
      <c r="D6" s="6" t="n">
        <v>6043</v>
      </c>
      <c r="E6" s="6" t="n">
        <v>6496</v>
      </c>
      <c r="F6" s="6" t="n">
        <v>12579</v>
      </c>
      <c r="G6" s="6" t="n">
        <v>16635</v>
      </c>
    </row>
    <row r="7" ht="22" customHeight="1">
      <c r="A7" s="5" t="inlineStr">
        <is>
          <t>Client</t>
        </is>
      </c>
      <c r="B7" s="6" t="n"/>
      <c r="C7" s="6" t="n"/>
      <c r="D7" s="6" t="n">
        <v>6201</v>
      </c>
      <c r="E7" s="6" t="n">
        <v>4651</v>
      </c>
      <c r="F7" s="6" t="n">
        <v>7054</v>
      </c>
      <c r="G7" s="6" t="n">
        <v>10640</v>
      </c>
    </row>
    <row r="8" ht="22" customHeight="1">
      <c r="A8" s="5" t="inlineStr">
        <is>
          <t>Gaming</t>
        </is>
      </c>
      <c r="B8" s="6" t="n"/>
      <c r="C8" s="6" t="n"/>
      <c r="D8" s="6" t="n">
        <v>6805</v>
      </c>
      <c r="E8" s="6" t="n">
        <v>6212</v>
      </c>
      <c r="F8" s="6" t="n">
        <v>2595</v>
      </c>
      <c r="G8" s="6" t="n">
        <v>3910</v>
      </c>
    </row>
    <row r="9" ht="22" customHeight="1">
      <c r="A9" s="5" t="inlineStr">
        <is>
          <t>Embedded</t>
        </is>
      </c>
      <c r="B9" s="6" t="n"/>
      <c r="C9" s="6" t="n"/>
      <c r="D9" s="6" t="n">
        <v>4552</v>
      </c>
      <c r="E9" s="6" t="n">
        <v>5321</v>
      </c>
      <c r="F9" s="6" t="n">
        <v>3557</v>
      </c>
      <c r="G9" s="6" t="n">
        <v>3454</v>
      </c>
    </row>
    <row r="10" ht="22" customHeight="1">
      <c r="A10" s="5" t="inlineStr">
        <is>
          <t>Computing and Graphics</t>
        </is>
      </c>
      <c r="B10" s="6" t="n">
        <v>6432</v>
      </c>
      <c r="C10" s="6" t="n">
        <v>9332</v>
      </c>
      <c r="D10" s="6" t="n"/>
      <c r="E10" s="6" t="n"/>
      <c r="F10" s="6" t="n"/>
      <c r="G10" s="6" t="n"/>
    </row>
    <row r="11" ht="22" customHeight="1">
      <c r="A11" s="5" t="inlineStr">
        <is>
          <t>Enterprise, Embedded and Semi-Custom</t>
        </is>
      </c>
      <c r="B11" s="6" t="n">
        <v>3331</v>
      </c>
      <c r="C11" s="6" t="n">
        <v>7102</v>
      </c>
      <c r="D11" s="6" t="n"/>
      <c r="E11" s="6" t="n"/>
      <c r="F11" s="6" t="n"/>
      <c r="G11" s="6" t="n"/>
    </row>
    <row r="12" ht="8" customHeight="1"/>
    <row r="13" ht="36" customHeight="1">
      <c r="A13" s="4" t="inlineStr">
        <is>
          <t>占比(%)</t>
        </is>
      </c>
      <c r="B13" s="4" t="inlineStr">
        <is>
          <t>2020</t>
        </is>
      </c>
      <c r="C13" s="4" t="inlineStr">
        <is>
          <t>2021</t>
        </is>
      </c>
      <c r="D13" s="4" t="inlineStr">
        <is>
          <t>2022</t>
        </is>
      </c>
      <c r="E13" s="4" t="inlineStr">
        <is>
          <t>2023</t>
        </is>
      </c>
      <c r="F13" s="4" t="inlineStr">
        <is>
          <t>2024</t>
        </is>
      </c>
      <c r="G13" s="4" t="inlineStr">
        <is>
          <t>2025</t>
        </is>
      </c>
    </row>
    <row r="14" ht="22" customHeight="1">
      <c r="A14" s="5" t="inlineStr">
        <is>
          <t>Data Center</t>
        </is>
      </c>
      <c r="B14" s="6" t="n"/>
      <c r="C14" s="6" t="n"/>
      <c r="D14" s="6" t="n">
        <v>25.6</v>
      </c>
      <c r="E14" s="6" t="n">
        <v>28.6</v>
      </c>
      <c r="F14" s="6" t="n">
        <v>48.8</v>
      </c>
      <c r="G14" s="6" t="n">
        <v>48</v>
      </c>
    </row>
    <row r="15" ht="22" customHeight="1">
      <c r="A15" s="5" t="inlineStr">
        <is>
          <t>Client</t>
        </is>
      </c>
      <c r="B15" s="6" t="n"/>
      <c r="C15" s="6" t="n"/>
      <c r="D15" s="6" t="n">
        <v>26.3</v>
      </c>
      <c r="E15" s="6" t="n">
        <v>20.5</v>
      </c>
      <c r="F15" s="6" t="n">
        <v>27.4</v>
      </c>
      <c r="G15" s="6" t="n">
        <v>30.7</v>
      </c>
    </row>
    <row r="16" ht="22" customHeight="1">
      <c r="A16" s="5" t="inlineStr">
        <is>
          <t>Gaming</t>
        </is>
      </c>
      <c r="B16" s="6" t="n"/>
      <c r="C16" s="6" t="n"/>
      <c r="D16" s="6" t="n">
        <v>28.8</v>
      </c>
      <c r="E16" s="6" t="n">
        <v>27.4</v>
      </c>
      <c r="F16" s="6" t="n">
        <v>10.1</v>
      </c>
      <c r="G16" s="6" t="n">
        <v>11.3</v>
      </c>
    </row>
    <row r="17" ht="22" customHeight="1">
      <c r="A17" s="5" t="inlineStr">
        <is>
          <t>Embedded</t>
        </is>
      </c>
      <c r="B17" s="6" t="n"/>
      <c r="C17" s="6" t="n"/>
      <c r="D17" s="6" t="n">
        <v>19.3</v>
      </c>
      <c r="E17" s="6" t="n">
        <v>23.5</v>
      </c>
      <c r="F17" s="6" t="n">
        <v>13.8</v>
      </c>
      <c r="G17" s="6" t="n">
        <v>10</v>
      </c>
    </row>
    <row r="18" ht="22" customHeight="1">
      <c r="A18" s="5" t="inlineStr">
        <is>
          <t>Computing and Graphics</t>
        </is>
      </c>
      <c r="B18" s="6" t="n">
        <v>65.90000000000001</v>
      </c>
      <c r="C18" s="6" t="n">
        <v>56.8</v>
      </c>
      <c r="D18" s="6" t="n"/>
      <c r="E18" s="6" t="n"/>
      <c r="F18" s="6" t="n"/>
      <c r="G18" s="6" t="n"/>
    </row>
    <row r="19" ht="22" customHeight="1">
      <c r="A19" s="5" t="inlineStr">
        <is>
          <t>Enterprise, Embedded and Semi-Custom</t>
        </is>
      </c>
      <c r="B19" s="6" t="n">
        <v>34.1</v>
      </c>
      <c r="C19" s="6" t="n">
        <v>43.2</v>
      </c>
      <c r="D19" s="6" t="n"/>
      <c r="E19" s="6" t="n"/>
      <c r="F19" s="6" t="n"/>
      <c r="G19" s="6" t="n"/>
    </row>
    <row r="20" ht="8" customHeight="1"/>
    <row r="40" ht="8" customHeight="1"/>
    <row r="41" ht="26" customHeight="1">
      <c r="A41" s="3" t="inlineStr">
        <is>
          <t>2. 分地区收入(百万美元)</t>
        </is>
      </c>
    </row>
    <row r="42" ht="36" customHeight="1">
      <c r="A42" s="4" t="inlineStr">
        <is>
          <t>地区(百万美元)</t>
        </is>
      </c>
      <c r="B42" s="4" t="inlineStr">
        <is>
          <t>2020</t>
        </is>
      </c>
      <c r="C42" s="4" t="inlineStr">
        <is>
          <t>2021</t>
        </is>
      </c>
      <c r="D42" s="4" t="inlineStr">
        <is>
          <t>2022</t>
        </is>
      </c>
      <c r="E42" s="4" t="inlineStr">
        <is>
          <t>2023</t>
        </is>
      </c>
      <c r="F42" s="4" t="inlineStr">
        <is>
          <t>2024</t>
        </is>
      </c>
      <c r="G42" s="4" t="inlineStr">
        <is>
          <t>2025</t>
        </is>
      </c>
    </row>
    <row r="43" ht="22" customHeight="1">
      <c r="A43" s="5" t="inlineStr">
        <is>
          <t>United States</t>
        </is>
      </c>
      <c r="B43" s="6" t="n">
        <v>2294</v>
      </c>
      <c r="C43" s="6" t="n">
        <v>4656</v>
      </c>
      <c r="D43" s="6" t="n">
        <v>8049</v>
      </c>
      <c r="E43" s="6" t="n">
        <v>7837</v>
      </c>
      <c r="F43" s="6" t="n">
        <v>8693</v>
      </c>
      <c r="G43" s="6" t="n">
        <v>11363</v>
      </c>
    </row>
    <row r="44" ht="22" customHeight="1">
      <c r="A44" s="5" t="inlineStr">
        <is>
          <t>China (incl. HK)</t>
        </is>
      </c>
      <c r="B44" s="6" t="n">
        <v>2329</v>
      </c>
      <c r="C44" s="6" t="n">
        <v>4096</v>
      </c>
      <c r="D44" s="6" t="n">
        <v>5207</v>
      </c>
      <c r="E44" s="6" t="n">
        <v>3417</v>
      </c>
      <c r="F44" s="6" t="n">
        <v>6231</v>
      </c>
      <c r="G44" s="6" t="n">
        <v>7751</v>
      </c>
    </row>
    <row r="45" ht="22" customHeight="1">
      <c r="A45" s="5" t="inlineStr">
        <is>
          <t>Taiwan</t>
        </is>
      </c>
      <c r="B45" s="6" t="n">
        <v>1187</v>
      </c>
      <c r="C45" s="6" t="n">
        <v>2091</v>
      </c>
      <c r="D45" s="6" t="n">
        <v>2369</v>
      </c>
      <c r="E45" s="6" t="n">
        <v>1841</v>
      </c>
      <c r="F45" s="6" t="n">
        <v>3301</v>
      </c>
      <c r="G45" s="6" t="n">
        <v>5186</v>
      </c>
    </row>
    <row r="46" ht="22" customHeight="1">
      <c r="A46" s="5" t="inlineStr">
        <is>
          <t>Singapore</t>
        </is>
      </c>
      <c r="B46" s="6" t="n">
        <v>1096</v>
      </c>
      <c r="C46" s="6" t="n">
        <v>1389</v>
      </c>
      <c r="D46" s="6" t="n">
        <v>1380</v>
      </c>
      <c r="E46" s="6" t="n">
        <v>2231</v>
      </c>
      <c r="F46" s="6" t="n">
        <v>3614</v>
      </c>
      <c r="G46" s="6" t="n">
        <v>4284</v>
      </c>
    </row>
    <row r="47" ht="22" customHeight="1">
      <c r="A47" s="5" t="inlineStr">
        <is>
          <t>Other</t>
        </is>
      </c>
      <c r="B47" s="6" t="n">
        <v>716</v>
      </c>
      <c r="C47" s="6" t="n">
        <v>572</v>
      </c>
      <c r="D47" s="6" t="n">
        <v>646</v>
      </c>
      <c r="E47" s="6" t="n">
        <v>695</v>
      </c>
      <c r="F47" s="6" t="n">
        <v>554</v>
      </c>
      <c r="G47" s="6" t="n">
        <v>6055</v>
      </c>
    </row>
    <row r="48" ht="22" customHeight="1">
      <c r="A48" s="5" t="inlineStr">
        <is>
          <t>Japan</t>
        </is>
      </c>
      <c r="B48" s="6" t="n">
        <v>1033</v>
      </c>
      <c r="C48" s="6" t="n">
        <v>2381</v>
      </c>
      <c r="D48" s="6" t="n">
        <v>4177</v>
      </c>
      <c r="E48" s="6" t="n">
        <v>4629</v>
      </c>
      <c r="F48" s="6" t="n">
        <v>1767</v>
      </c>
      <c r="G48" s="6" t="n"/>
    </row>
    <row r="49" ht="22" customHeight="1">
      <c r="A49" s="5" t="inlineStr">
        <is>
          <t>Europe</t>
        </is>
      </c>
      <c r="B49" s="6" t="n">
        <v>1108</v>
      </c>
      <c r="C49" s="6" t="n">
        <v>1249</v>
      </c>
      <c r="D49" s="6" t="n">
        <v>1773</v>
      </c>
      <c r="E49" s="6" t="n">
        <v>2030</v>
      </c>
      <c r="F49" s="6" t="n">
        <v>1625</v>
      </c>
      <c r="G49" s="6" t="n"/>
    </row>
    <row r="50" ht="8" customHeight="1"/>
    <row r="70" ht="8" customHeight="1"/>
    <row r="71" ht="26" customHeight="1">
      <c r="A71" s="3" t="inlineStr">
        <is>
          <t>3. 前五大客户/供应商集中度(%)</t>
        </is>
      </c>
    </row>
    <row r="72" ht="36" customHeight="1">
      <c r="A72" s="4" t="inlineStr">
        <is>
          <t>年份</t>
        </is>
      </c>
      <c r="B72" s="4" t="inlineStr">
        <is>
          <t>2020</t>
        </is>
      </c>
      <c r="C72" s="4" t="inlineStr">
        <is>
          <t>2021</t>
        </is>
      </c>
      <c r="D72" s="4" t="inlineStr">
        <is>
          <t>2022</t>
        </is>
      </c>
      <c r="E72" s="4" t="inlineStr">
        <is>
          <t>2023</t>
        </is>
      </c>
      <c r="F72" s="4" t="inlineStr">
        <is>
          <t>2024</t>
        </is>
      </c>
      <c r="G72" s="4" t="inlineStr">
        <is>
          <t>2025</t>
        </is>
      </c>
    </row>
    <row r="73" ht="22" customHeight="1">
      <c r="A73" s="5" t="inlineStr">
        <is>
          <t>前五大客户占比(%)</t>
        </is>
      </c>
      <c r="B73" s="6" t="n"/>
      <c r="C73" s="6" t="n"/>
      <c r="D73" s="6" t="n"/>
      <c r="E73" s="6" t="n"/>
      <c r="F73" s="6" t="n"/>
      <c r="G73" s="6" t="n"/>
    </row>
    <row r="74" ht="22" customHeight="1">
      <c r="A74" s="5" t="inlineStr">
        <is>
          <t>前五大供应商占比(%)</t>
        </is>
      </c>
      <c r="B74" s="6" t="n"/>
      <c r="C74" s="6" t="n"/>
      <c r="D74" s="6" t="n"/>
      <c r="E74" s="6" t="n"/>
      <c r="F74" s="6" t="n"/>
      <c r="G74" s="6" t="n"/>
    </row>
    <row r="75" ht="8" customHeight="1"/>
    <row r="94" ht="8" customHeight="1"/>
    <row r="95" ht="36" customHeight="1">
      <c r="A95" s="4" t="inlineStr">
        <is>
          <t>类别</t>
        </is>
      </c>
      <c r="B95" s="4" t="inlineStr">
        <is>
          <t>2025年客户</t>
        </is>
      </c>
      <c r="C95" s="4" t="inlineStr">
        <is>
          <t>2025年供应商</t>
        </is>
      </c>
    </row>
    <row r="96" ht="22" customHeight="1">
      <c r="A96" s="5" t="inlineStr">
        <is>
          <t>前五大</t>
        </is>
      </c>
      <c r="B96" s="6" t="n">
        <v>0</v>
      </c>
      <c r="C96" s="6" t="n">
        <v>0</v>
      </c>
    </row>
    <row r="97" ht="22" customHeight="1">
      <c r="A97" s="5" t="inlineStr">
        <is>
          <t>其他</t>
        </is>
      </c>
      <c r="B97" s="6" t="n">
        <v>100</v>
      </c>
      <c r="C97" s="6" t="n">
        <v>100</v>
      </c>
    </row>
    <row r="118" ht="8" customHeight="1"/>
    <row r="119" ht="26" customHeight="1">
      <c r="A119" s="3" t="inlineStr">
        <is>
          <t>4. 员工规模与结构</t>
        </is>
      </c>
    </row>
    <row r="120" ht="36" customHeight="1">
      <c r="A120" s="4" t="inlineStr">
        <is>
          <t>指标</t>
        </is>
      </c>
      <c r="B120" s="4" t="inlineStr">
        <is>
          <t>2020</t>
        </is>
      </c>
      <c r="C120" s="4" t="inlineStr">
        <is>
          <t>2021</t>
        </is>
      </c>
      <c r="D120" s="4" t="inlineStr">
        <is>
          <t>2022</t>
        </is>
      </c>
      <c r="E120" s="4" t="inlineStr">
        <is>
          <t>2023</t>
        </is>
      </c>
      <c r="F120" s="4" t="inlineStr">
        <is>
          <t>2024</t>
        </is>
      </c>
      <c r="G120" s="4" t="inlineStr">
        <is>
          <t>2025</t>
        </is>
      </c>
    </row>
    <row r="121" ht="22" customHeight="1">
      <c r="A121" s="5" t="inlineStr">
        <is>
          <t>员工总数(万人)</t>
        </is>
      </c>
      <c r="B121" s="6" t="n">
        <v>1.26</v>
      </c>
      <c r="C121" s="6" t="n">
        <v>1.55</v>
      </c>
      <c r="D121" s="6" t="n">
        <v>2.5</v>
      </c>
      <c r="E121" s="6" t="n">
        <v>2.6</v>
      </c>
      <c r="F121" s="6" t="n">
        <v>2.8</v>
      </c>
      <c r="G121" s="6" t="n">
        <v>3.1</v>
      </c>
    </row>
    <row r="122" ht="22" customHeight="1">
      <c r="A122" s="5" t="inlineStr">
        <is>
          <t>技术/研发人员(万人)</t>
        </is>
      </c>
      <c r="B122" s="6" t="n"/>
      <c r="C122" s="6" t="n"/>
      <c r="D122" s="6" t="n"/>
      <c r="E122" s="6" t="n"/>
      <c r="F122" s="6" t="n"/>
      <c r="G122" s="6" t="n"/>
    </row>
    <row r="123" ht="22" customHeight="1">
      <c r="A123" s="5" t="inlineStr">
        <is>
          <t>技术/研发占比(%)</t>
        </is>
      </c>
      <c r="B123" s="6" t="n"/>
      <c r="C123" s="6" t="n"/>
      <c r="D123" s="6" t="n"/>
      <c r="E123" s="6" t="n"/>
      <c r="F123" s="6" t="n"/>
      <c r="G123" s="6" t="n"/>
    </row>
    <row r="124" ht="22" customHeight="1">
      <c r="A124" s="5" t="inlineStr">
        <is>
          <t>当年净增(万人)</t>
        </is>
      </c>
      <c r="B124" s="6" t="n"/>
      <c r="C124" s="6" t="n">
        <v>0.29</v>
      </c>
      <c r="D124" s="6" t="n">
        <v>0.95</v>
      </c>
      <c r="E124" s="6" t="n">
        <v>0.1</v>
      </c>
      <c r="F124" s="6" t="n">
        <v>0.2</v>
      </c>
      <c r="G124" s="6" t="n">
        <v>0.3</v>
      </c>
    </row>
    <row r="125" ht="8" customHeight="1"/>
    <row r="144" ht="8" customHeight="1"/>
    <row r="145" ht="36" customHeight="1">
      <c r="A145" s="4" t="inlineStr">
        <is>
          <t>2025年专业构成</t>
        </is>
      </c>
      <c r="B145" s="4" t="inlineStr">
        <is>
          <t>人数(人)</t>
        </is>
      </c>
      <c r="C145" s="4" t="inlineStr">
        <is>
          <t>占比(%)</t>
        </is>
      </c>
    </row>
  </sheetData>
  <mergeCells count="6">
    <mergeCell ref="A119:G119"/>
    <mergeCell ref="A1:G1"/>
    <mergeCell ref="A4:G4"/>
    <mergeCell ref="A2:G2"/>
    <mergeCell ref="A41:G41"/>
    <mergeCell ref="A71:G7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</cols>
  <sheetData>
    <row r="1" ht="30" customHeight="1">
      <c r="A1" s="1" t="inlineStr">
        <is>
          <t>Advanced Micro Devices, Inc. 2020-2025 现金流(C 类)</t>
        </is>
      </c>
    </row>
    <row r="2" ht="22" customHeight="1">
      <c r="A2" s="2" t="inlineStr">
        <is>
          <t>数据源:2020.json, 2021.json, 2022.json, 2023.json, 2024.json, 2025.json    |    金额单位:百万美元    |    比率/分红率:%    |    OCF/净利:倍数</t>
        </is>
      </c>
    </row>
    <row r="3" ht="8" customHeight="1"/>
    <row r="4" ht="26" customHeight="1">
      <c r="A4" s="3" t="inlineStr">
        <is>
          <t>1. 三类现金流(经营 / 投资 / 筹资,百万美元)</t>
        </is>
      </c>
    </row>
    <row r="5" ht="36" customHeight="1">
      <c r="A5" s="4" t="inlineStr">
        <is>
          <t>现金流类别(百万美元)</t>
        </is>
      </c>
      <c r="B5" s="4" t="inlineStr">
        <is>
          <t>2020</t>
        </is>
      </c>
      <c r="C5" s="4" t="inlineStr">
        <is>
          <t>2021</t>
        </is>
      </c>
      <c r="D5" s="4" t="inlineStr">
        <is>
          <t>2022</t>
        </is>
      </c>
      <c r="E5" s="4" t="inlineStr">
        <is>
          <t>2023</t>
        </is>
      </c>
      <c r="F5" s="4" t="inlineStr">
        <is>
          <t>2024</t>
        </is>
      </c>
      <c r="G5" s="4" t="inlineStr">
        <is>
          <t>2025</t>
        </is>
      </c>
    </row>
    <row r="6" ht="22" customHeight="1">
      <c r="A6" s="5" t="inlineStr">
        <is>
          <t>经营活动现金流净额</t>
        </is>
      </c>
      <c r="B6" s="6" t="n">
        <v>1071</v>
      </c>
      <c r="C6" s="6" t="n">
        <v>3521</v>
      </c>
      <c r="D6" s="6" t="n">
        <v>3565</v>
      </c>
      <c r="E6" s="6" t="n">
        <v>1667</v>
      </c>
      <c r="F6" s="6" t="n">
        <v>3041</v>
      </c>
      <c r="G6" s="6" t="n">
        <v>7709</v>
      </c>
    </row>
    <row r="7" ht="22" customHeight="1">
      <c r="A7" s="5" t="inlineStr">
        <is>
          <t>投资活动现金流净额</t>
        </is>
      </c>
      <c r="B7" s="6" t="n">
        <v>-952</v>
      </c>
      <c r="C7" s="6" t="n">
        <v>-686</v>
      </c>
      <c r="D7" s="6" t="n">
        <v>1999</v>
      </c>
      <c r="E7" s="6" t="n">
        <v>-1423</v>
      </c>
      <c r="F7" s="6" t="n">
        <v>-1101</v>
      </c>
      <c r="G7" s="6" t="n">
        <v>-5533</v>
      </c>
    </row>
    <row r="8" ht="22" customHeight="1">
      <c r="A8" s="5" t="inlineStr">
        <is>
          <t>筹资活动现金流净额</t>
        </is>
      </c>
      <c r="B8" s="6" t="n">
        <v>6</v>
      </c>
      <c r="C8" s="6" t="n">
        <v>-1895</v>
      </c>
      <c r="D8" s="6" t="n">
        <v>-3264</v>
      </c>
      <c r="E8" s="6" t="n">
        <v>-1146</v>
      </c>
      <c r="F8" s="6" t="n">
        <v>-2062</v>
      </c>
      <c r="G8" s="6" t="n">
        <v>-431</v>
      </c>
    </row>
    <row r="9" ht="8" customHeight="1"/>
    <row r="29" ht="8" customHeight="1"/>
    <row r="30" ht="26" customHeight="1">
      <c r="A30" s="3" t="inlineStr">
        <is>
          <t>2. 经营现金流 vs 净利润(盈利质量校验)</t>
        </is>
      </c>
    </row>
    <row r="31" ht="36" customHeight="1">
      <c r="A31" s="4" t="inlineStr">
        <is>
          <t>指标</t>
        </is>
      </c>
      <c r="B31" s="4" t="inlineStr">
        <is>
          <t>2020</t>
        </is>
      </c>
      <c r="C31" s="4" t="inlineStr">
        <is>
          <t>2021</t>
        </is>
      </c>
      <c r="D31" s="4" t="inlineStr">
        <is>
          <t>2022</t>
        </is>
      </c>
      <c r="E31" s="4" t="inlineStr">
        <is>
          <t>2023</t>
        </is>
      </c>
      <c r="F31" s="4" t="inlineStr">
        <is>
          <t>2024</t>
        </is>
      </c>
      <c r="G31" s="4" t="inlineStr">
        <is>
          <t>2025</t>
        </is>
      </c>
    </row>
    <row r="32" ht="22" customHeight="1">
      <c r="A32" s="5" t="inlineStr">
        <is>
          <t>经营活动现金流净额(百万美元)</t>
        </is>
      </c>
      <c r="B32" s="6" t="n">
        <v>1071</v>
      </c>
      <c r="C32" s="6" t="n">
        <v>3521</v>
      </c>
      <c r="D32" s="6" t="n">
        <v>3565</v>
      </c>
      <c r="E32" s="6" t="n">
        <v>1667</v>
      </c>
      <c r="F32" s="6" t="n">
        <v>3041</v>
      </c>
      <c r="G32" s="6" t="n">
        <v>7709</v>
      </c>
    </row>
    <row r="33" ht="22" customHeight="1">
      <c r="A33" s="5" t="inlineStr">
        <is>
          <t>净利润(百万美元)</t>
        </is>
      </c>
      <c r="B33" s="6" t="n">
        <v>2490</v>
      </c>
      <c r="C33" s="6" t="n">
        <v>3162</v>
      </c>
      <c r="D33" s="6" t="n">
        <v>1320</v>
      </c>
      <c r="E33" s="6" t="n">
        <v>854</v>
      </c>
      <c r="F33" s="6" t="n">
        <v>1641</v>
      </c>
      <c r="G33" s="6" t="n">
        <v>4335</v>
      </c>
    </row>
    <row r="34" ht="22" customHeight="1">
      <c r="A34" s="5" t="inlineStr">
        <is>
          <t>OCF / 净利润 (倍数)</t>
        </is>
      </c>
      <c r="B34" s="6" t="n">
        <v>0.43</v>
      </c>
      <c r="C34" s="6" t="n">
        <v>1.11</v>
      </c>
      <c r="D34" s="6" t="n">
        <v>2.7</v>
      </c>
      <c r="E34" s="6" t="n">
        <v>1.95</v>
      </c>
      <c r="F34" s="6" t="n">
        <v>1.85</v>
      </c>
      <c r="G34" s="6" t="n">
        <v>1.78</v>
      </c>
    </row>
    <row r="35" ht="8" customHeight="1"/>
    <row r="55" ht="8" customHeight="1"/>
    <row r="56" ht="26" customHeight="1">
      <c r="A56" s="3" t="inlineStr">
        <is>
          <t>3. 资本开支 Capex(投入强度)</t>
        </is>
      </c>
    </row>
    <row r="57" ht="36" customHeight="1">
      <c r="A57" s="4" t="inlineStr">
        <is>
          <t>指标</t>
        </is>
      </c>
      <c r="B57" s="4" t="inlineStr">
        <is>
          <t>2020</t>
        </is>
      </c>
      <c r="C57" s="4" t="inlineStr">
        <is>
          <t>2021</t>
        </is>
      </c>
      <c r="D57" s="4" t="inlineStr">
        <is>
          <t>2022</t>
        </is>
      </c>
      <c r="E57" s="4" t="inlineStr">
        <is>
          <t>2023</t>
        </is>
      </c>
      <c r="F57" s="4" t="inlineStr">
        <is>
          <t>2024</t>
        </is>
      </c>
      <c r="G57" s="4" t="inlineStr">
        <is>
          <t>2025</t>
        </is>
      </c>
    </row>
    <row r="58" ht="22" customHeight="1">
      <c r="A58" s="5" t="inlineStr">
        <is>
          <t>Capex(百万美元)</t>
        </is>
      </c>
      <c r="B58" s="6" t="n">
        <v>294</v>
      </c>
      <c r="C58" s="6" t="n">
        <v>301</v>
      </c>
      <c r="D58" s="6" t="n">
        <v>450</v>
      </c>
      <c r="E58" s="6" t="n">
        <v>546</v>
      </c>
      <c r="F58" s="6" t="n">
        <v>636</v>
      </c>
      <c r="G58" s="6" t="n">
        <v>974</v>
      </c>
    </row>
    <row r="59" ht="22" customHeight="1">
      <c r="A59" s="5" t="inlineStr">
        <is>
          <t>Capex / 营收 (%)</t>
        </is>
      </c>
      <c r="B59" s="6" t="n">
        <v>3.01</v>
      </c>
      <c r="C59" s="6" t="n">
        <v>1.83</v>
      </c>
      <c r="D59" s="6" t="n">
        <v>1.91</v>
      </c>
      <c r="E59" s="6" t="n">
        <v>2.41</v>
      </c>
      <c r="F59" s="6" t="n">
        <v>2.47</v>
      </c>
      <c r="G59" s="6" t="n">
        <v>2.81</v>
      </c>
    </row>
    <row r="60" ht="8" customHeight="1"/>
    <row r="80" ht="8" customHeight="1"/>
    <row r="81" ht="26" customHeight="1">
      <c r="A81" s="3" t="inlineStr">
        <is>
          <t>4. 自由现金流 FCF = OCF − Capex(真实可分配现金)</t>
        </is>
      </c>
    </row>
    <row r="82" ht="36" customHeight="1">
      <c r="A82" s="4" t="inlineStr">
        <is>
          <t>指标</t>
        </is>
      </c>
      <c r="B82" s="4" t="inlineStr">
        <is>
          <t>2020</t>
        </is>
      </c>
      <c r="C82" s="4" t="inlineStr">
        <is>
          <t>2021</t>
        </is>
      </c>
      <c r="D82" s="4" t="inlineStr">
        <is>
          <t>2022</t>
        </is>
      </c>
      <c r="E82" s="4" t="inlineStr">
        <is>
          <t>2023</t>
        </is>
      </c>
      <c r="F82" s="4" t="inlineStr">
        <is>
          <t>2024</t>
        </is>
      </c>
      <c r="G82" s="4" t="inlineStr">
        <is>
          <t>2025</t>
        </is>
      </c>
    </row>
    <row r="83" ht="22" customHeight="1">
      <c r="A83" s="5" t="inlineStr">
        <is>
          <t>FCF(百万美元)</t>
        </is>
      </c>
      <c r="B83" s="6" t="n">
        <v>777</v>
      </c>
      <c r="C83" s="6" t="n">
        <v>3220</v>
      </c>
      <c r="D83" s="6" t="n">
        <v>3115</v>
      </c>
      <c r="E83" s="6" t="n">
        <v>1121</v>
      </c>
      <c r="F83" s="6" t="n">
        <v>2405</v>
      </c>
      <c r="G83" s="6" t="n">
        <v>6735</v>
      </c>
    </row>
    <row r="84" ht="22" customHeight="1">
      <c r="A84" s="5" t="inlineStr">
        <is>
          <t>FCF / 营收 (%)</t>
        </is>
      </c>
      <c r="B84" s="6" t="n">
        <v>7.96</v>
      </c>
      <c r="C84" s="6" t="n">
        <v>19.59</v>
      </c>
      <c r="D84" s="6" t="n">
        <v>13.2</v>
      </c>
      <c r="E84" s="6" t="n">
        <v>4.94</v>
      </c>
      <c r="F84" s="6" t="n">
        <v>9.33</v>
      </c>
      <c r="G84" s="6" t="n">
        <v>19.44</v>
      </c>
    </row>
    <row r="85" ht="8" customHeight="1"/>
    <row r="105" ht="8" customHeight="1"/>
    <row r="106" ht="26" customHeight="1">
      <c r="A106" s="3" t="inlineStr">
        <is>
          <t>5. 股东回报(现金分红+利息支付 / 股份回购)</t>
        </is>
      </c>
    </row>
    <row r="107" ht="36" customHeight="1">
      <c r="A107" s="4" t="inlineStr">
        <is>
          <t>项目(百万美元)</t>
        </is>
      </c>
      <c r="B107" s="4" t="inlineStr">
        <is>
          <t>2020</t>
        </is>
      </c>
      <c r="C107" s="4" t="inlineStr">
        <is>
          <t>2021</t>
        </is>
      </c>
      <c r="D107" s="4" t="inlineStr">
        <is>
          <t>2022</t>
        </is>
      </c>
      <c r="E107" s="4" t="inlineStr">
        <is>
          <t>2023</t>
        </is>
      </c>
      <c r="F107" s="4" t="inlineStr">
        <is>
          <t>2024</t>
        </is>
      </c>
      <c r="G107" s="4" t="inlineStr">
        <is>
          <t>2025</t>
        </is>
      </c>
    </row>
    <row r="108" ht="22" customHeight="1">
      <c r="A108" s="5" t="inlineStr">
        <is>
          <t>分配股利、利息支付现金</t>
        </is>
      </c>
      <c r="B108" s="6" t="n">
        <v>0</v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0</v>
      </c>
    </row>
    <row r="109" ht="22" customHeight="1">
      <c r="A109" s="5" t="inlineStr">
        <is>
          <t>股份回购支付现金</t>
        </is>
      </c>
      <c r="B109" s="6" t="n">
        <v>0</v>
      </c>
      <c r="C109" s="6" t="n">
        <v>1762</v>
      </c>
      <c r="D109" s="6" t="n">
        <v>3702</v>
      </c>
      <c r="E109" s="6" t="n">
        <v>985</v>
      </c>
      <c r="F109" s="6" t="n">
        <v>862</v>
      </c>
      <c r="G109" s="6" t="n">
        <v>1316</v>
      </c>
    </row>
    <row r="110" ht="22" customHeight="1">
      <c r="A110" s="5" t="inlineStr">
        <is>
          <t>分红率 = 分红+利息 / 净利 (%)</t>
        </is>
      </c>
      <c r="B110" s="6" t="n">
        <v>0</v>
      </c>
      <c r="C110" s="6" t="n">
        <v>0</v>
      </c>
      <c r="D110" s="6" t="n">
        <v>0</v>
      </c>
      <c r="E110" s="6" t="n">
        <v>0</v>
      </c>
      <c r="F110" s="6" t="n">
        <v>0</v>
      </c>
      <c r="G110" s="6" t="n">
        <v>0</v>
      </c>
    </row>
    <row r="111" ht="8" customHeight="1"/>
    <row r="131" ht="8" customHeight="1"/>
    <row r="132" ht="26" customHeight="1">
      <c r="A132" s="3" t="inlineStr">
        <is>
          <t>6. 现金储备(期末余额 + 当年净增减)</t>
        </is>
      </c>
    </row>
    <row r="133" ht="36" customHeight="1">
      <c r="A133" s="4" t="inlineStr">
        <is>
          <t>指标(百万美元)</t>
        </is>
      </c>
      <c r="B133" s="4" t="inlineStr">
        <is>
          <t>2020</t>
        </is>
      </c>
      <c r="C133" s="4" t="inlineStr">
        <is>
          <t>2021</t>
        </is>
      </c>
      <c r="D133" s="4" t="inlineStr">
        <is>
          <t>2022</t>
        </is>
      </c>
      <c r="E133" s="4" t="inlineStr">
        <is>
          <t>2023</t>
        </is>
      </c>
      <c r="F133" s="4" t="inlineStr">
        <is>
          <t>2024</t>
        </is>
      </c>
      <c r="G133" s="4" t="inlineStr">
        <is>
          <t>2025</t>
        </is>
      </c>
    </row>
    <row r="134" ht="22" customHeight="1">
      <c r="A134" s="5" t="inlineStr">
        <is>
          <t>期末现金及等价物余额</t>
        </is>
      </c>
      <c r="B134" s="6" t="n"/>
      <c r="C134" s="6" t="n"/>
      <c r="D134" s="6" t="n"/>
      <c r="E134" s="6" t="n"/>
      <c r="F134" s="6" t="n"/>
      <c r="G134" s="6" t="n"/>
    </row>
    <row r="135" ht="22" customHeight="1">
      <c r="A135" s="5" t="inlineStr">
        <is>
          <t>当年现金净增加额</t>
        </is>
      </c>
      <c r="B135" s="6" t="n">
        <v>125</v>
      </c>
      <c r="C135" s="6" t="n">
        <v>940</v>
      </c>
      <c r="D135" s="6" t="n">
        <v>2300</v>
      </c>
      <c r="E135" s="6" t="n">
        <v>-902</v>
      </c>
      <c r="F135" s="6" t="n">
        <v>-122</v>
      </c>
      <c r="G135" s="6" t="n">
        <v>1745</v>
      </c>
    </row>
    <row r="136" ht="8" customHeight="1"/>
  </sheetData>
  <mergeCells count="8">
    <mergeCell ref="A1:G1"/>
    <mergeCell ref="A132:G132"/>
    <mergeCell ref="A56:G56"/>
    <mergeCell ref="A106:G106"/>
    <mergeCell ref="A4:G4"/>
    <mergeCell ref="A30:G30"/>
    <mergeCell ref="A2:G2"/>
    <mergeCell ref="A81:G8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30" customHeight="1">
      <c r="A1" s="1" t="inlineStr">
        <is>
          <t>Advanced Micro Devices, Inc. 2020-2025年末 资产负债表(D 类)</t>
        </is>
      </c>
      <c r="K1" s="8" t="inlineStr">
        <is>
          <t>原始数据(全精度,单位:million)</t>
        </is>
      </c>
    </row>
    <row r="2" ht="36" customHeight="1">
      <c r="A2" s="2" t="inlineStr">
        <is>
          <t>数据源:2020.json, 2021.json, 2022.json, 2023.json, 2024.json, 2025.json    |    金额单位:百万美元    |    比率:%    |    周转:天</t>
        </is>
      </c>
      <c r="K2" s="4" t="inlineStr">
        <is>
          <t>科目</t>
        </is>
      </c>
      <c r="L2" s="4" t="inlineStr">
        <is>
          <t>2020年末</t>
        </is>
      </c>
      <c r="M2" s="4" t="inlineStr">
        <is>
          <t>2021年末</t>
        </is>
      </c>
      <c r="N2" s="4" t="inlineStr">
        <is>
          <t>2022年末</t>
        </is>
      </c>
      <c r="O2" s="4" t="inlineStr">
        <is>
          <t>2023年末</t>
        </is>
      </c>
      <c r="P2" s="4" t="inlineStr">
        <is>
          <t>2024年末</t>
        </is>
      </c>
      <c r="Q2" s="4" t="inlineStr">
        <is>
          <t>2025年末</t>
        </is>
      </c>
    </row>
    <row r="3" ht="22" customHeight="1">
      <c r="K3" s="5" t="inlineStr">
        <is>
          <t>货币资金</t>
        </is>
      </c>
      <c r="L3" s="6" t="n">
        <v>1595</v>
      </c>
      <c r="M3" s="6" t="n">
        <v>2535</v>
      </c>
      <c r="N3" s="6" t="n">
        <v>4835</v>
      </c>
      <c r="O3" s="6" t="n">
        <v>3933</v>
      </c>
      <c r="P3" s="6" t="n">
        <v>3787</v>
      </c>
      <c r="Q3" s="6" t="n">
        <v>5539</v>
      </c>
    </row>
    <row r="4" ht="22" customHeight="1">
      <c r="A4" s="3" t="inlineStr">
        <is>
          <t>1. 资产 / 负债 / 所有者权益(百万美元)</t>
        </is>
      </c>
      <c r="K4" s="5" t="inlineStr">
        <is>
          <t>应收账款</t>
        </is>
      </c>
      <c r="L4" s="6" t="n">
        <v>2066</v>
      </c>
      <c r="M4" s="6" t="n">
        <v>2706</v>
      </c>
      <c r="N4" s="6" t="n">
        <v>4126</v>
      </c>
      <c r="O4" s="6" t="n">
        <v>5376</v>
      </c>
      <c r="P4" s="6" t="n">
        <v>6192</v>
      </c>
      <c r="Q4" s="6" t="n">
        <v>6315</v>
      </c>
    </row>
    <row r="5" ht="22" customHeight="1">
      <c r="A5" s="4" t="inlineStr">
        <is>
          <t>科目(百万美元)</t>
        </is>
      </c>
      <c r="B5" s="4" t="inlineStr">
        <is>
          <t>2020末</t>
        </is>
      </c>
      <c r="C5" s="4" t="inlineStr">
        <is>
          <t>2021末</t>
        </is>
      </c>
      <c r="D5" s="4" t="inlineStr">
        <is>
          <t>2022末</t>
        </is>
      </c>
      <c r="E5" s="4" t="inlineStr">
        <is>
          <t>2023末</t>
        </is>
      </c>
      <c r="F5" s="4" t="inlineStr">
        <is>
          <t>2024末</t>
        </is>
      </c>
      <c r="G5" s="4" t="inlineStr">
        <is>
          <t>2025末</t>
        </is>
      </c>
      <c r="K5" s="5" t="inlineStr">
        <is>
          <t>存货</t>
        </is>
      </c>
      <c r="L5" s="6" t="n">
        <v>1399</v>
      </c>
      <c r="M5" s="6" t="n">
        <v>1955</v>
      </c>
      <c r="N5" s="6" t="n">
        <v>3771</v>
      </c>
      <c r="O5" s="6" t="n">
        <v>4351</v>
      </c>
      <c r="P5" s="6" t="n">
        <v>5734</v>
      </c>
      <c r="Q5" s="6" t="n">
        <v>7920</v>
      </c>
    </row>
    <row r="6" ht="22" customHeight="1">
      <c r="A6" s="5" t="inlineStr">
        <is>
          <t>总资产</t>
        </is>
      </c>
      <c r="B6" s="6" t="n">
        <v>8962</v>
      </c>
      <c r="C6" s="6" t="n">
        <v>12419</v>
      </c>
      <c r="D6" s="6" t="n">
        <v>67580</v>
      </c>
      <c r="E6" s="6" t="n">
        <v>67885</v>
      </c>
      <c r="F6" s="6" t="n">
        <v>69226</v>
      </c>
      <c r="G6" s="6" t="n">
        <v>76926</v>
      </c>
      <c r="K6" s="5" t="inlineStr">
        <is>
          <t>流动资产合计</t>
        </is>
      </c>
      <c r="L6" s="6" t="n">
        <v>6143</v>
      </c>
      <c r="M6" s="6" t="n">
        <v>8583</v>
      </c>
      <c r="N6" s="6" t="n">
        <v>15019</v>
      </c>
      <c r="O6" s="6" t="n">
        <v>16768</v>
      </c>
      <c r="P6" s="6" t="n">
        <v>19049</v>
      </c>
      <c r="Q6" s="6" t="n">
        <v>26947</v>
      </c>
    </row>
    <row r="7" ht="22" customHeight="1">
      <c r="A7" s="5" t="inlineStr">
        <is>
          <t>总负债</t>
        </is>
      </c>
      <c r="B7" s="6" t="n">
        <v>3125</v>
      </c>
      <c r="C7" s="6" t="n">
        <v>4922</v>
      </c>
      <c r="D7" s="6" t="n">
        <v>12830</v>
      </c>
      <c r="E7" s="6" t="n">
        <v>11993</v>
      </c>
      <c r="F7" s="6" t="n">
        <v>11658</v>
      </c>
      <c r="G7" s="6" t="n">
        <v>13927</v>
      </c>
      <c r="K7" s="5" t="inlineStr">
        <is>
          <t>固定资产</t>
        </is>
      </c>
      <c r="L7" s="6" t="n">
        <v>641</v>
      </c>
      <c r="M7" s="6" t="n">
        <v>702</v>
      </c>
      <c r="N7" s="6" t="n">
        <v>1513</v>
      </c>
      <c r="O7" s="6" t="n">
        <v>1589</v>
      </c>
      <c r="P7" s="6" t="n">
        <v>1802</v>
      </c>
      <c r="Q7" s="6" t="n">
        <v>2312</v>
      </c>
    </row>
    <row r="8" ht="22" customHeight="1">
      <c r="A8" s="5" t="inlineStr">
        <is>
          <t>所有者权益(合计)</t>
        </is>
      </c>
      <c r="B8" s="6" t="n">
        <v>5837</v>
      </c>
      <c r="C8" s="6" t="n">
        <v>7497</v>
      </c>
      <c r="D8" s="6" t="n">
        <v>54750</v>
      </c>
      <c r="E8" s="6" t="n">
        <v>55892</v>
      </c>
      <c r="F8" s="6" t="n">
        <v>57568</v>
      </c>
      <c r="G8" s="6" t="n">
        <v>62999</v>
      </c>
      <c r="K8" s="5" t="inlineStr">
        <is>
          <t>商誉</t>
        </is>
      </c>
      <c r="L8" s="6" t="n">
        <v>289</v>
      </c>
      <c r="M8" s="6" t="n">
        <v>289</v>
      </c>
      <c r="N8" s="6" t="n">
        <v>24177</v>
      </c>
      <c r="O8" s="6" t="n">
        <v>24262</v>
      </c>
      <c r="P8" s="6" t="n">
        <v>24839</v>
      </c>
      <c r="Q8" s="6" t="n">
        <v>25126</v>
      </c>
    </row>
    <row r="9" ht="22" customHeight="1">
      <c r="A9" s="5" t="inlineStr">
        <is>
          <t>资产负债率(%)</t>
        </is>
      </c>
      <c r="B9" s="6" t="n">
        <v>34.87</v>
      </c>
      <c r="C9" s="6" t="n">
        <v>39.63</v>
      </c>
      <c r="D9" s="6" t="n">
        <v>18.98</v>
      </c>
      <c r="E9" s="6" t="n">
        <v>17.67</v>
      </c>
      <c r="F9" s="6" t="n">
        <v>16.84</v>
      </c>
      <c r="G9" s="6" t="n">
        <v>18.1</v>
      </c>
      <c r="K9" s="5" t="inlineStr">
        <is>
          <t>资产总计</t>
        </is>
      </c>
      <c r="L9" s="6" t="n">
        <v>8962</v>
      </c>
      <c r="M9" s="6" t="n">
        <v>12419</v>
      </c>
      <c r="N9" s="6" t="n">
        <v>67580</v>
      </c>
      <c r="O9" s="6" t="n">
        <v>67885</v>
      </c>
      <c r="P9" s="6" t="n">
        <v>69226</v>
      </c>
      <c r="Q9" s="6" t="n">
        <v>76926</v>
      </c>
    </row>
    <row r="10" ht="22" customHeight="1">
      <c r="K10" s="5" t="inlineStr">
        <is>
          <t>短期借款</t>
        </is>
      </c>
      <c r="L10" s="6" t="n">
        <v>0</v>
      </c>
      <c r="M10" s="6" t="n">
        <v>312</v>
      </c>
      <c r="N10" s="6" t="n">
        <v>0</v>
      </c>
      <c r="O10" s="6" t="n">
        <v>751</v>
      </c>
      <c r="P10" s="6" t="n">
        <v>0</v>
      </c>
      <c r="Q10" s="6" t="n">
        <v>874</v>
      </c>
    </row>
    <row r="11" ht="22" customHeight="1">
      <c r="K11" s="5" t="inlineStr">
        <is>
          <t>长期借款</t>
        </is>
      </c>
      <c r="L11" s="6" t="n">
        <v>330</v>
      </c>
      <c r="M11" s="6" t="n">
        <v>1</v>
      </c>
      <c r="N11" s="6" t="n">
        <v>2467</v>
      </c>
      <c r="O11" s="6" t="n">
        <v>1717</v>
      </c>
      <c r="P11" s="6" t="n">
        <v>1721</v>
      </c>
      <c r="Q11" s="6" t="n">
        <v>2348</v>
      </c>
    </row>
    <row r="12" ht="22" customHeight="1">
      <c r="K12" s="5" t="inlineStr">
        <is>
          <t>负债合计</t>
        </is>
      </c>
      <c r="L12" s="6" t="n">
        <v>3125</v>
      </c>
      <c r="M12" s="6" t="n">
        <v>4922</v>
      </c>
      <c r="N12" s="6" t="n">
        <v>12830</v>
      </c>
      <c r="O12" s="6" t="n">
        <v>11993</v>
      </c>
      <c r="P12" s="6" t="n">
        <v>11658</v>
      </c>
      <c r="Q12" s="6" t="n">
        <v>13927</v>
      </c>
    </row>
    <row r="13" ht="22" customHeight="1">
      <c r="K13" s="5" t="inlineStr">
        <is>
          <t>归属于母公司股东权益</t>
        </is>
      </c>
      <c r="L13" s="6" t="n">
        <v>5837</v>
      </c>
      <c r="M13" s="6" t="n">
        <v>7497</v>
      </c>
      <c r="N13" s="6" t="n">
        <v>54750</v>
      </c>
      <c r="O13" s="6" t="n">
        <v>55892</v>
      </c>
      <c r="P13" s="6" t="n">
        <v>57568</v>
      </c>
      <c r="Q13" s="6" t="n">
        <v>62999</v>
      </c>
    </row>
    <row r="14" ht="22" customHeight="1">
      <c r="K14" s="5" t="inlineStr">
        <is>
          <t>股东权益合计</t>
        </is>
      </c>
      <c r="L14" s="6" t="n">
        <v>5837</v>
      </c>
      <c r="M14" s="6" t="n">
        <v>7497</v>
      </c>
      <c r="N14" s="6" t="n">
        <v>54750</v>
      </c>
      <c r="O14" s="6" t="n">
        <v>55892</v>
      </c>
      <c r="P14" s="6" t="n">
        <v>57568</v>
      </c>
      <c r="Q14" s="6" t="n">
        <v>62999</v>
      </c>
    </row>
    <row r="16">
      <c r="K16" s="7" t="inlineStr">
        <is>
          <t>财务费用附注(期间数)</t>
        </is>
      </c>
    </row>
    <row r="17" ht="36" customHeight="1">
      <c r="K17" s="4" t="inlineStr">
        <is>
          <t>科目</t>
        </is>
      </c>
      <c r="L17" s="4" t="inlineStr">
        <is>
          <t>2020年</t>
        </is>
      </c>
      <c r="M17" s="4" t="inlineStr">
        <is>
          <t>2021年</t>
        </is>
      </c>
      <c r="N17" s="4" t="inlineStr">
        <is>
          <t>2022年</t>
        </is>
      </c>
      <c r="O17" s="4" t="inlineStr">
        <is>
          <t>2023年</t>
        </is>
      </c>
      <c r="P17" s="4" t="inlineStr">
        <is>
          <t>2024年</t>
        </is>
      </c>
      <c r="Q17" s="4" t="inlineStr">
        <is>
          <t>2025年</t>
        </is>
      </c>
    </row>
    <row r="18" ht="22" customHeight="1">
      <c r="K18" s="5" t="inlineStr">
        <is>
          <t>利息支出</t>
        </is>
      </c>
      <c r="L18" s="6" t="n">
        <v>47</v>
      </c>
      <c r="M18" s="6" t="n">
        <v>34</v>
      </c>
      <c r="N18" s="6" t="n">
        <v>88</v>
      </c>
      <c r="O18" s="6" t="n">
        <v>106</v>
      </c>
      <c r="P18" s="6" t="n">
        <v>92</v>
      </c>
      <c r="Q18" s="6" t="n">
        <v>131</v>
      </c>
    </row>
    <row r="30" ht="8" customHeight="1"/>
    <row r="31" ht="26" customHeight="1">
      <c r="A31" s="3" t="inlineStr">
        <is>
          <t>2. 杠杆趋势(资产负债率 / 有息负债率,%)</t>
        </is>
      </c>
    </row>
    <row r="32" ht="36" customHeight="1">
      <c r="A32" s="4" t="inlineStr">
        <is>
          <t>比率(%)</t>
        </is>
      </c>
      <c r="B32" s="4" t="inlineStr">
        <is>
          <t>2020末</t>
        </is>
      </c>
      <c r="C32" s="4" t="inlineStr">
        <is>
          <t>2021末</t>
        </is>
      </c>
      <c r="D32" s="4" t="inlineStr">
        <is>
          <t>2022末</t>
        </is>
      </c>
      <c r="E32" s="4" t="inlineStr">
        <is>
          <t>2023末</t>
        </is>
      </c>
      <c r="F32" s="4" t="inlineStr">
        <is>
          <t>2024末</t>
        </is>
      </c>
      <c r="G32" s="4" t="inlineStr">
        <is>
          <t>2025末</t>
        </is>
      </c>
    </row>
    <row r="33" ht="22" customHeight="1">
      <c r="A33" s="5" t="inlineStr">
        <is>
          <t>资产负债率</t>
        </is>
      </c>
      <c r="B33" s="6" t="n">
        <v>34.87</v>
      </c>
      <c r="C33" s="6" t="n">
        <v>39.63</v>
      </c>
      <c r="D33" s="6" t="n">
        <v>18.98</v>
      </c>
      <c r="E33" s="6" t="n">
        <v>17.67</v>
      </c>
      <c r="F33" s="6" t="n">
        <v>16.84</v>
      </c>
      <c r="G33" s="6" t="n">
        <v>18.1</v>
      </c>
    </row>
    <row r="34" ht="22" customHeight="1">
      <c r="A34" s="5" t="inlineStr">
        <is>
          <t>有息负债率(有息负债/总资产)</t>
        </is>
      </c>
      <c r="B34" s="6" t="n">
        <v>3.68</v>
      </c>
      <c r="C34" s="6" t="n">
        <v>2.52</v>
      </c>
      <c r="D34" s="6" t="n">
        <v>3.65</v>
      </c>
      <c r="E34" s="6" t="n">
        <v>3.64</v>
      </c>
      <c r="F34" s="6" t="n">
        <v>2.49</v>
      </c>
      <c r="G34" s="6" t="n">
        <v>4.19</v>
      </c>
    </row>
    <row r="35" ht="8" customHeight="1"/>
    <row r="55" ht="8" customHeight="1"/>
    <row r="56" ht="26" customHeight="1">
      <c r="A56" s="3" t="inlineStr">
        <is>
          <t>3. 有息负债结构 + 净负债(百万美元)</t>
        </is>
      </c>
    </row>
    <row r="57" ht="36" customHeight="1">
      <c r="A57" s="4" t="inlineStr">
        <is>
          <t>项目(百万美元)</t>
        </is>
      </c>
      <c r="B57" s="4" t="inlineStr">
        <is>
          <t>2020末</t>
        </is>
      </c>
      <c r="C57" s="4" t="inlineStr">
        <is>
          <t>2021末</t>
        </is>
      </c>
      <c r="D57" s="4" t="inlineStr">
        <is>
          <t>2022末</t>
        </is>
      </c>
      <c r="E57" s="4" t="inlineStr">
        <is>
          <t>2023末</t>
        </is>
      </c>
      <c r="F57" s="4" t="inlineStr">
        <is>
          <t>2024末</t>
        </is>
      </c>
      <c r="G57" s="4" t="inlineStr">
        <is>
          <t>2025末</t>
        </is>
      </c>
    </row>
    <row r="58" ht="22" customHeight="1">
      <c r="A58" s="5" t="inlineStr">
        <is>
          <t>短期借款</t>
        </is>
      </c>
      <c r="B58" s="6" t="n">
        <v>0</v>
      </c>
      <c r="C58" s="6" t="n">
        <v>312</v>
      </c>
      <c r="D58" s="6" t="n">
        <v>0</v>
      </c>
      <c r="E58" s="6" t="n">
        <v>751</v>
      </c>
      <c r="F58" s="6" t="n">
        <v>0</v>
      </c>
      <c r="G58" s="6" t="n">
        <v>874</v>
      </c>
    </row>
    <row r="59" ht="22" customHeight="1">
      <c r="A59" s="5" t="inlineStr">
        <is>
          <t>一年内到期非流动负债</t>
        </is>
      </c>
      <c r="B59" s="6" t="n"/>
      <c r="C59" s="6" t="n"/>
      <c r="D59" s="6" t="n"/>
      <c r="E59" s="6" t="n"/>
      <c r="F59" s="6" t="n"/>
      <c r="G59" s="6" t="n"/>
    </row>
    <row r="60" ht="22" customHeight="1">
      <c r="A60" s="5" t="inlineStr">
        <is>
          <t>长期借款</t>
        </is>
      </c>
      <c r="B60" s="6" t="n">
        <v>330</v>
      </c>
      <c r="C60" s="6" t="n">
        <v>1</v>
      </c>
      <c r="D60" s="6" t="n">
        <v>2467</v>
      </c>
      <c r="E60" s="6" t="n">
        <v>1717</v>
      </c>
      <c r="F60" s="6" t="n">
        <v>1721</v>
      </c>
      <c r="G60" s="6" t="n">
        <v>2348</v>
      </c>
    </row>
    <row r="61" ht="22" customHeight="1">
      <c r="A61" s="5" t="inlineStr">
        <is>
          <t>应付债券</t>
        </is>
      </c>
      <c r="B61" s="6" t="n"/>
      <c r="C61" s="6" t="n"/>
      <c r="D61" s="6" t="n"/>
      <c r="E61" s="6" t="n"/>
      <c r="F61" s="6" t="n"/>
      <c r="G61" s="6" t="n"/>
    </row>
    <row r="62" ht="22" customHeight="1">
      <c r="A62" s="5" t="inlineStr">
        <is>
          <t>租赁负债</t>
        </is>
      </c>
      <c r="B62" s="6" t="n"/>
      <c r="C62" s="6" t="n"/>
      <c r="D62" s="6" t="n"/>
      <c r="E62" s="6" t="n"/>
      <c r="F62" s="6" t="n"/>
      <c r="G62" s="6" t="n"/>
    </row>
    <row r="63" ht="22" customHeight="1">
      <c r="A63" s="5" t="inlineStr">
        <is>
          <t>货币资金</t>
        </is>
      </c>
      <c r="B63" s="6" t="n">
        <v>1595</v>
      </c>
      <c r="C63" s="6" t="n">
        <v>2535</v>
      </c>
      <c r="D63" s="6" t="n">
        <v>4835</v>
      </c>
      <c r="E63" s="6" t="n">
        <v>3933</v>
      </c>
      <c r="F63" s="6" t="n">
        <v>3787</v>
      </c>
      <c r="G63" s="6" t="n">
        <v>5539</v>
      </c>
    </row>
    <row r="64" ht="22" customHeight="1">
      <c r="A64" s="5" t="inlineStr">
        <is>
          <t>有息负债合计</t>
        </is>
      </c>
      <c r="B64" s="6" t="n">
        <v>330</v>
      </c>
      <c r="C64" s="6" t="n">
        <v>313</v>
      </c>
      <c r="D64" s="6" t="n">
        <v>2467</v>
      </c>
      <c r="E64" s="6" t="n">
        <v>2468</v>
      </c>
      <c r="F64" s="6" t="n">
        <v>1721</v>
      </c>
      <c r="G64" s="6" t="n">
        <v>3222</v>
      </c>
    </row>
    <row r="65" ht="22" customHeight="1">
      <c r="A65" s="5" t="inlineStr">
        <is>
          <t>净有息负债(有息-货币)</t>
        </is>
      </c>
      <c r="B65" s="6" t="n">
        <v>-1265</v>
      </c>
      <c r="C65" s="6" t="n">
        <v>-2222</v>
      </c>
      <c r="D65" s="6" t="n">
        <v>-2368</v>
      </c>
      <c r="E65" s="6" t="n">
        <v>-1465</v>
      </c>
      <c r="F65" s="6" t="n">
        <v>-2066</v>
      </c>
      <c r="G65" s="6" t="n">
        <v>-2317</v>
      </c>
    </row>
    <row r="66" ht="8" customHeight="1"/>
    <row r="86" ht="8" customHeight="1"/>
    <row r="87" ht="26" customHeight="1">
      <c r="A87" s="3" t="inlineStr">
        <is>
          <t>4. 营运资本周转(周转天数 + 现金转换周期 CCC)</t>
        </is>
      </c>
    </row>
    <row r="88" ht="36" customHeight="1">
      <c r="A88" s="4" t="inlineStr">
        <is>
          <t>周转天数(天)</t>
        </is>
      </c>
      <c r="B88" s="4" t="inlineStr">
        <is>
          <t>2020</t>
        </is>
      </c>
      <c r="C88" s="4" t="inlineStr">
        <is>
          <t>2021</t>
        </is>
      </c>
      <c r="D88" s="4" t="inlineStr">
        <is>
          <t>2022</t>
        </is>
      </c>
      <c r="E88" s="4" t="inlineStr">
        <is>
          <t>2023</t>
        </is>
      </c>
      <c r="F88" s="4" t="inlineStr">
        <is>
          <t>2024</t>
        </is>
      </c>
      <c r="G88" s="4" t="inlineStr">
        <is>
          <t>2025</t>
        </is>
      </c>
    </row>
    <row r="89" ht="22" customHeight="1">
      <c r="A89" s="5" t="inlineStr">
        <is>
          <t>应收账款周转天数</t>
        </is>
      </c>
      <c r="B89" s="6" t="n">
        <v>77.2</v>
      </c>
      <c r="C89" s="6" t="n">
        <v>53</v>
      </c>
      <c r="D89" s="6" t="n">
        <v>52.8</v>
      </c>
      <c r="E89" s="6" t="n">
        <v>76.5</v>
      </c>
      <c r="F89" s="6" t="n">
        <v>81.90000000000001</v>
      </c>
      <c r="G89" s="6" t="n">
        <v>65.90000000000001</v>
      </c>
    </row>
    <row r="90" ht="22" customHeight="1">
      <c r="A90" s="5" t="inlineStr">
        <is>
          <t>存货周转天数</t>
        </is>
      </c>
      <c r="B90" s="6" t="n">
        <v>94.3</v>
      </c>
      <c r="C90" s="6" t="n">
        <v>72</v>
      </c>
      <c r="D90" s="6" t="n">
        <v>80.40000000000001</v>
      </c>
      <c r="E90" s="6" t="n">
        <v>121.3</v>
      </c>
      <c r="F90" s="6" t="n">
        <v>140.9</v>
      </c>
      <c r="G90" s="6" t="n">
        <v>142.5</v>
      </c>
    </row>
    <row r="91" ht="22" customHeight="1">
      <c r="A91" s="5" t="inlineStr">
        <is>
          <t>应付账款周转天数</t>
        </is>
      </c>
      <c r="B91" s="6" t="n"/>
      <c r="C91" s="6" t="n"/>
      <c r="D91" s="6" t="n"/>
      <c r="E91" s="6" t="n"/>
      <c r="F91" s="6" t="n"/>
      <c r="G91" s="6" t="n"/>
    </row>
    <row r="92" ht="22" customHeight="1">
      <c r="A92" s="5" t="inlineStr">
        <is>
          <t>现金转换周期 CCC</t>
        </is>
      </c>
      <c r="B92" s="6" t="n"/>
      <c r="C92" s="6" t="n"/>
      <c r="D92" s="6" t="n"/>
      <c r="E92" s="6" t="n"/>
      <c r="F92" s="6" t="n"/>
      <c r="G92" s="6" t="n"/>
    </row>
    <row r="93" ht="8" customHeight="1"/>
    <row r="113" ht="8" customHeight="1"/>
    <row r="114" ht="26" customHeight="1">
      <c r="A114" s="3" t="inlineStr">
        <is>
          <t>5. 资产结构(2025年末)+ 商誉占净资产(减值风险)</t>
        </is>
      </c>
    </row>
    <row r="115" ht="36" customHeight="1">
      <c r="A115" s="4" t="inlineStr">
        <is>
          <t>2025年末科目</t>
        </is>
      </c>
      <c r="B115" s="4" t="inlineStr">
        <is>
          <t>金额(百万美元)</t>
        </is>
      </c>
      <c r="C115" s="4" t="inlineStr">
        <is>
          <t>占总资产(%)</t>
        </is>
      </c>
    </row>
    <row r="116" ht="22" customHeight="1">
      <c r="A116" s="5" t="inlineStr">
        <is>
          <t>货币资金</t>
        </is>
      </c>
      <c r="B116" s="6" t="n">
        <v>5539</v>
      </c>
      <c r="C116" s="6" t="n">
        <v>7.2</v>
      </c>
    </row>
    <row r="117" ht="22" customHeight="1">
      <c r="A117" s="5" t="inlineStr">
        <is>
          <t>应收账款</t>
        </is>
      </c>
      <c r="B117" s="6" t="n">
        <v>6315</v>
      </c>
      <c r="C117" s="6" t="n">
        <v>8.199999999999999</v>
      </c>
    </row>
    <row r="118" ht="22" customHeight="1">
      <c r="A118" s="5" t="inlineStr">
        <is>
          <t>存货</t>
        </is>
      </c>
      <c r="B118" s="6" t="n">
        <v>7920</v>
      </c>
      <c r="C118" s="6" t="n">
        <v>10.3</v>
      </c>
    </row>
    <row r="119" ht="22" customHeight="1">
      <c r="A119" s="5" t="inlineStr">
        <is>
          <t>固定资产</t>
        </is>
      </c>
      <c r="B119" s="6" t="n">
        <v>2312</v>
      </c>
      <c r="C119" s="6" t="n">
        <v>3</v>
      </c>
    </row>
    <row r="120" ht="22" customHeight="1">
      <c r="A120" s="5" t="inlineStr">
        <is>
          <t>在建工程</t>
        </is>
      </c>
      <c r="B120" s="6" t="n"/>
      <c r="C120" s="6" t="n"/>
    </row>
    <row r="121" ht="22" customHeight="1">
      <c r="A121" s="5" t="inlineStr">
        <is>
          <t>商誉</t>
        </is>
      </c>
      <c r="B121" s="6" t="n">
        <v>25126</v>
      </c>
      <c r="C121" s="6" t="n">
        <v>32.7</v>
      </c>
    </row>
    <row r="122" ht="22" customHeight="1">
      <c r="A122" s="5" t="inlineStr">
        <is>
          <t>其他资产</t>
        </is>
      </c>
      <c r="B122" s="6" t="n">
        <v>29714</v>
      </c>
      <c r="C122" s="6" t="n">
        <v>38.6</v>
      </c>
    </row>
    <row r="123" ht="8" customHeight="1"/>
    <row r="142" ht="8" customHeight="1"/>
    <row r="143" ht="36" customHeight="1">
      <c r="A143" s="4" t="inlineStr">
        <is>
          <t>减值风险代理</t>
        </is>
      </c>
      <c r="B143" s="4" t="inlineStr">
        <is>
          <t>2020末</t>
        </is>
      </c>
      <c r="C143" s="4" t="inlineStr">
        <is>
          <t>2021末</t>
        </is>
      </c>
      <c r="D143" s="4" t="inlineStr">
        <is>
          <t>2022末</t>
        </is>
      </c>
      <c r="E143" s="4" t="inlineStr">
        <is>
          <t>2023末</t>
        </is>
      </c>
      <c r="F143" s="4" t="inlineStr">
        <is>
          <t>2024末</t>
        </is>
      </c>
      <c r="G143" s="4" t="inlineStr">
        <is>
          <t>2025末</t>
        </is>
      </c>
    </row>
    <row r="144" ht="22" customHeight="1">
      <c r="A144" s="5" t="inlineStr">
        <is>
          <t>商誉/归母净资产(%)</t>
        </is>
      </c>
      <c r="B144" s="6" t="n">
        <v>4.95</v>
      </c>
      <c r="C144" s="6" t="n">
        <v>3.85</v>
      </c>
      <c r="D144" s="6" t="n">
        <v>44.16</v>
      </c>
      <c r="E144" s="6" t="n">
        <v>43.41</v>
      </c>
      <c r="F144" s="6" t="n">
        <v>43.15</v>
      </c>
      <c r="G144" s="6" t="n">
        <v>39.88</v>
      </c>
    </row>
  </sheetData>
  <mergeCells count="7">
    <mergeCell ref="A1:G1"/>
    <mergeCell ref="A56:G56"/>
    <mergeCell ref="A31:G31"/>
    <mergeCell ref="A114:G114"/>
    <mergeCell ref="A87:G87"/>
    <mergeCell ref="A4:G4"/>
    <mergeCell ref="A2:G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</cols>
  <sheetData>
    <row r="1" ht="30" customHeight="1">
      <c r="A1" s="1" t="inlineStr">
        <is>
          <t>Advanced Micro Devices, Inc. 2020-2025年 回报指标(E 类:ROE / ROA / ROIC / 杜邦)</t>
        </is>
      </c>
    </row>
    <row r="2" ht="22" customHeight="1">
      <c r="A2" s="2" t="inlineStr">
        <is>
          <t>数据源:2020.json, 2021.json, 2022.json, 2023.json, 2024.json, 2025.json    |    比率:%    |    周转:次    |    乘数:倍    |    ROE 为归母口径</t>
        </is>
      </c>
    </row>
    <row r="3" ht="8" customHeight="1"/>
    <row r="4" ht="26" customHeight="1">
      <c r="A4" s="3" t="inlineStr">
        <is>
          <t>1. 回报指标趋势(ROE / ROA / ROIC,%)</t>
        </is>
      </c>
    </row>
    <row r="5" ht="36" customHeight="1">
      <c r="A5" s="4" t="inlineStr">
        <is>
          <t>指标(%)</t>
        </is>
      </c>
      <c r="B5" s="4" t="inlineStr">
        <is>
          <t>2020</t>
        </is>
      </c>
      <c r="C5" s="4" t="inlineStr">
        <is>
          <t>2021</t>
        </is>
      </c>
      <c r="D5" s="4" t="inlineStr">
        <is>
          <t>2022</t>
        </is>
      </c>
      <c r="E5" s="4" t="inlineStr">
        <is>
          <t>2023</t>
        </is>
      </c>
      <c r="F5" s="4" t="inlineStr">
        <is>
          <t>2024</t>
        </is>
      </c>
      <c r="G5" s="4" t="inlineStr">
        <is>
          <t>2025</t>
        </is>
      </c>
    </row>
    <row r="6" ht="22" customHeight="1">
      <c r="A6" s="5" t="inlineStr">
        <is>
          <t>ROE 净资产收益率(归母)</t>
        </is>
      </c>
      <c r="B6" s="6" t="n">
        <v>42.66</v>
      </c>
      <c r="C6" s="6" t="n">
        <v>47.43</v>
      </c>
      <c r="D6" s="6" t="n">
        <v>4.24</v>
      </c>
      <c r="E6" s="6" t="n">
        <v>1.54</v>
      </c>
      <c r="F6" s="6" t="n">
        <v>2.89</v>
      </c>
      <c r="G6" s="6" t="n">
        <v>7.19</v>
      </c>
    </row>
    <row r="7" ht="22" customHeight="1">
      <c r="A7" s="5" t="inlineStr">
        <is>
          <t>ROA 总资产收益率</t>
        </is>
      </c>
      <c r="B7" s="6" t="n">
        <v>27.78</v>
      </c>
      <c r="C7" s="6" t="n">
        <v>29.58</v>
      </c>
      <c r="D7" s="6" t="n">
        <v>3.3</v>
      </c>
      <c r="E7" s="6" t="n">
        <v>1.26</v>
      </c>
      <c r="F7" s="6" t="n">
        <v>2.39</v>
      </c>
      <c r="G7" s="6" t="n">
        <v>5.93</v>
      </c>
    </row>
    <row r="8" ht="22" customHeight="1">
      <c r="A8" s="5" t="inlineStr">
        <is>
          <t>ROIC 投入资本回报率</t>
        </is>
      </c>
      <c r="B8" s="6" t="n">
        <v>41.78</v>
      </c>
      <c r="C8" s="6" t="n">
        <v>45.58</v>
      </c>
      <c r="D8" s="6" t="n">
        <v>4.32</v>
      </c>
      <c r="E8" s="6" t="n">
        <v>1.76</v>
      </c>
      <c r="F8" s="6" t="n">
        <v>2.86</v>
      </c>
      <c r="G8" s="6" t="n">
        <v>6.98</v>
      </c>
    </row>
    <row r="9" ht="8" customHeight="1"/>
    <row r="29" ht="8" customHeight="1"/>
    <row r="30" ht="26" customHeight="1">
      <c r="A30" s="3" t="inlineStr">
        <is>
          <t>2. 杜邦三因子(归母净利率% / 总资产周转 / 权益乘数)</t>
        </is>
      </c>
    </row>
    <row r="31" ht="36" customHeight="1">
      <c r="A31" s="4" t="inlineStr">
        <is>
          <t>杜邦因子</t>
        </is>
      </c>
      <c r="B31" s="4" t="inlineStr">
        <is>
          <t>2020</t>
        </is>
      </c>
      <c r="C31" s="4" t="inlineStr">
        <is>
          <t>2021</t>
        </is>
      </c>
      <c r="D31" s="4" t="inlineStr">
        <is>
          <t>2022</t>
        </is>
      </c>
      <c r="E31" s="4" t="inlineStr">
        <is>
          <t>2023</t>
        </is>
      </c>
      <c r="F31" s="4" t="inlineStr">
        <is>
          <t>2024</t>
        </is>
      </c>
      <c r="G31" s="4" t="inlineStr">
        <is>
          <t>2025</t>
        </is>
      </c>
    </row>
    <row r="32" ht="22" customHeight="1">
      <c r="A32" s="5" t="inlineStr">
        <is>
          <t>归母净利率(%)</t>
        </is>
      </c>
      <c r="B32" s="6" t="n">
        <v>25.5</v>
      </c>
      <c r="C32" s="6" t="n">
        <v>19.24</v>
      </c>
      <c r="D32" s="6" t="n">
        <v>5.59</v>
      </c>
      <c r="E32" s="6" t="n">
        <v>3.77</v>
      </c>
      <c r="F32" s="6" t="n">
        <v>6.36</v>
      </c>
      <c r="G32" s="6" t="n">
        <v>12.51</v>
      </c>
    </row>
    <row r="33" ht="22" customHeight="1">
      <c r="A33" s="5" t="inlineStr">
        <is>
          <t>总资产周转率(次)</t>
        </is>
      </c>
      <c r="B33" s="6" t="n">
        <v>1.09</v>
      </c>
      <c r="C33" s="6" t="n">
        <v>1.54</v>
      </c>
      <c r="D33" s="6" t="n">
        <v>0.59</v>
      </c>
      <c r="E33" s="6" t="n">
        <v>0.33</v>
      </c>
      <c r="F33" s="6" t="n">
        <v>0.38</v>
      </c>
      <c r="G33" s="6" t="n">
        <v>0.47</v>
      </c>
    </row>
    <row r="34" ht="22" customHeight="1">
      <c r="A34" s="5" t="inlineStr">
        <is>
          <t>权益乘数(倍)</t>
        </is>
      </c>
      <c r="B34" s="6" t="n">
        <v>1.54</v>
      </c>
      <c r="C34" s="6" t="n">
        <v>1.6</v>
      </c>
      <c r="D34" s="6" t="n">
        <v>1.29</v>
      </c>
      <c r="E34" s="6" t="n">
        <v>1.22</v>
      </c>
      <c r="F34" s="6" t="n">
        <v>1.21</v>
      </c>
      <c r="G34" s="6" t="n">
        <v>1.21</v>
      </c>
    </row>
    <row r="35" ht="8" customHeight="1"/>
    <row r="55" ht="8" customHeight="1"/>
    <row r="56" ht="26" customHeight="1">
      <c r="A56" s="3" t="inlineStr">
        <is>
          <t>3. ROE 杜邦归因(归母净利率 × 总资产周转 × 权益乘数 = ROE)</t>
        </is>
      </c>
    </row>
    <row r="57" ht="36" customHeight="1">
      <c r="A57" s="4" t="inlineStr">
        <is>
          <t>年度</t>
        </is>
      </c>
      <c r="B57" s="4" t="inlineStr">
        <is>
          <t>归母净利率</t>
        </is>
      </c>
      <c r="C57" s="4" t="inlineStr">
        <is>
          <t>总资产周转</t>
        </is>
      </c>
      <c r="D57" s="4" t="inlineStr">
        <is>
          <t>权益乘数</t>
        </is>
      </c>
      <c r="E57" s="4" t="inlineStr">
        <is>
          <t>ROE</t>
        </is>
      </c>
    </row>
    <row r="58" ht="22" customHeight="1">
      <c r="A58" s="5" t="inlineStr">
        <is>
          <t>2020</t>
        </is>
      </c>
      <c r="B58" s="6" t="inlineStr">
        <is>
          <t>25.50%</t>
        </is>
      </c>
      <c r="C58" s="6" t="inlineStr">
        <is>
          <t>1.09</t>
        </is>
      </c>
      <c r="D58" s="6" t="inlineStr">
        <is>
          <t>1.54</t>
        </is>
      </c>
      <c r="E58" s="6" t="inlineStr">
        <is>
          <t>42.66%</t>
        </is>
      </c>
    </row>
    <row r="59" ht="22" customHeight="1">
      <c r="A59" s="5" t="inlineStr">
        <is>
          <t>2021</t>
        </is>
      </c>
      <c r="B59" s="6" t="inlineStr">
        <is>
          <t>19.24%</t>
        </is>
      </c>
      <c r="C59" s="6" t="inlineStr">
        <is>
          <t>1.54</t>
        </is>
      </c>
      <c r="D59" s="6" t="inlineStr">
        <is>
          <t>1.60</t>
        </is>
      </c>
      <c r="E59" s="6" t="inlineStr">
        <is>
          <t>47.43%</t>
        </is>
      </c>
    </row>
    <row r="60" ht="22" customHeight="1">
      <c r="A60" s="5" t="inlineStr">
        <is>
          <t>2022</t>
        </is>
      </c>
      <c r="B60" s="6" t="inlineStr">
        <is>
          <t>5.59%</t>
        </is>
      </c>
      <c r="C60" s="6" t="inlineStr">
        <is>
          <t>0.59</t>
        </is>
      </c>
      <c r="D60" s="6" t="inlineStr">
        <is>
          <t>1.29</t>
        </is>
      </c>
      <c r="E60" s="6" t="inlineStr">
        <is>
          <t>4.24%</t>
        </is>
      </c>
    </row>
    <row r="61" ht="22" customHeight="1">
      <c r="A61" s="5" t="inlineStr">
        <is>
          <t>2023</t>
        </is>
      </c>
      <c r="B61" s="6" t="inlineStr">
        <is>
          <t>3.77%</t>
        </is>
      </c>
      <c r="C61" s="6" t="inlineStr">
        <is>
          <t>0.33</t>
        </is>
      </c>
      <c r="D61" s="6" t="inlineStr">
        <is>
          <t>1.22</t>
        </is>
      </c>
      <c r="E61" s="6" t="inlineStr">
        <is>
          <t>1.54%</t>
        </is>
      </c>
    </row>
    <row r="62" ht="22" customHeight="1">
      <c r="A62" s="5" t="inlineStr">
        <is>
          <t>2024</t>
        </is>
      </c>
      <c r="B62" s="6" t="inlineStr">
        <is>
          <t>6.36%</t>
        </is>
      </c>
      <c r="C62" s="6" t="inlineStr">
        <is>
          <t>0.38</t>
        </is>
      </c>
      <c r="D62" s="6" t="inlineStr">
        <is>
          <t>1.21</t>
        </is>
      </c>
      <c r="E62" s="6" t="inlineStr">
        <is>
          <t>2.89%</t>
        </is>
      </c>
    </row>
    <row r="63" ht="22" customHeight="1">
      <c r="A63" s="5" t="inlineStr">
        <is>
          <t>2025</t>
        </is>
      </c>
      <c r="B63" s="6" t="inlineStr">
        <is>
          <t>12.51%</t>
        </is>
      </c>
      <c r="C63" s="6" t="inlineStr">
        <is>
          <t>0.47</t>
        </is>
      </c>
      <c r="D63" s="6" t="inlineStr">
        <is>
          <t>1.21</t>
        </is>
      </c>
      <c r="E63" s="6" t="inlineStr">
        <is>
          <t>7.19%</t>
        </is>
      </c>
    </row>
  </sheetData>
  <mergeCells count="5">
    <mergeCell ref="A1:G1"/>
    <mergeCell ref="A56:G56"/>
    <mergeCell ref="A4:G4"/>
    <mergeCell ref="A30:G30"/>
    <mergeCell ref="A2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2026-06-13T06:24:33Z</dcterms:created>
  <dcterms:modified xmlns:dcterms="http://purl.org/dc/terms/" xmlns:xsi="http://www.w3.org/2001/XMLSchema-instance" xsi:type="dcterms:W3CDTF">2026-06-13T06:24:38Z</dcterms:modified>
</cp:coreProperties>
</file>