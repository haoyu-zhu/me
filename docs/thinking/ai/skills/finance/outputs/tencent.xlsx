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利润表" sheetId="1" state="visible" r:id="rId1"/>
    <sheet xmlns:r="http://schemas.openxmlformats.org/officeDocument/2006/relationships" name="B_业务分析" sheetId="2" state="visible" r:id="rId2"/>
    <sheet xmlns:r="http://schemas.openxmlformats.org/officeDocument/2006/relationships" name="C_现金流" sheetId="3" state="visible" r:id="rId3"/>
    <sheet xmlns:r="http://schemas.openxmlformats.org/officeDocument/2006/relationships" name="D_资产负债表" sheetId="4" state="visible" r:id="rId4"/>
    <sheet xmlns:r="http://schemas.openxmlformats.org/officeDocument/2006/relationships" name="E_回报指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i val="1"/>
      <color rgb="00595959"/>
      <sz val="10"/>
    </font>
    <font>
      <name val="微软雅黑"/>
      <b val="1"/>
      <color rgb="001F3864"/>
      <sz val="12"/>
    </font>
    <font>
      <name val="微软雅黑"/>
      <b val="1"/>
      <sz val="11"/>
    </font>
    <font>
      <name val="微软雅黑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营业总收入 / 毛利 / 净利润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'A_利润表'!A28</f>
            </strRef>
          </tx>
          <spPr>
            <a:ln xmlns:a="http://schemas.openxmlformats.org/drawingml/2006/main">
              <a:prstDash val="solid"/>
            </a:ln>
          </spPr>
          <cat>
            <numRef>
              <f>'A_利润表'!$B$27:$C$27</f>
            </numRef>
          </cat>
          <val>
            <numRef>
              <f>'A_利润表'!$B$28:$C$28</f>
            </numRef>
          </val>
        </ser>
        <ser>
          <idx val="1"/>
          <order val="1"/>
          <tx>
            <strRef>
              <f>'A_利润表'!A29</f>
            </strRef>
          </tx>
          <spPr>
            <a:ln xmlns:a="http://schemas.openxmlformats.org/drawingml/2006/main">
              <a:prstDash val="solid"/>
            </a:ln>
          </spPr>
          <cat>
            <numRef>
              <f>'A_利润表'!$B$27:$C$27</f>
            </numRef>
          </cat>
          <val>
            <numRef>
              <f>'A_利润表'!$B$29:$C$29</f>
            </numRef>
          </val>
        </ser>
        <ser>
          <idx val="2"/>
          <order val="2"/>
          <tx>
            <strRef>
              <f>'A_利润表'!A30</f>
            </strRef>
          </tx>
          <spPr>
            <a:ln xmlns:a="http://schemas.openxmlformats.org/drawingml/2006/main">
              <a:prstDash val="solid"/>
            </a:ln>
          </spPr>
          <cat>
            <numRef>
              <f>'A_利润表'!$B$27:$C$27</f>
            </numRef>
          </cat>
          <val>
            <numRef>
              <f>'A_利润表'!$B$30:$C$30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百万元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四费(百万元)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'A_利润表'!A54</f>
            </strRef>
          </tx>
          <spPr>
            <a:solidFill xmlns:a="http://schemas.openxmlformats.org/drawingml/2006/main">
              <a:srgbClr val="E84855"/>
            </a:solidFill>
            <a:ln xmlns:a="http://schemas.openxmlformats.org/drawingml/2006/main" w="20000">
              <a:solidFill>
                <a:srgbClr val="E84855"/>
              </a:solidFill>
              <a:prstDash val="solid"/>
            </a:ln>
          </spPr>
          <cat>
            <numRef>
              <f>'A_利润表'!$B$53:$C$53</f>
            </numRef>
          </cat>
          <val>
            <numRef>
              <f>'A_利润表'!$B$54:$C$54</f>
            </numRef>
          </val>
        </ser>
        <ser>
          <idx val="1"/>
          <order val="1"/>
          <tx>
            <strRef>
              <f>'A_利润表'!A55</f>
            </strRef>
          </tx>
          <spPr>
            <a:solidFill xmlns:a="http://schemas.openxmlformats.org/drawingml/2006/main">
              <a:srgbClr val="3B7EA1"/>
            </a:solidFill>
            <a:ln xmlns:a="http://schemas.openxmlformats.org/drawingml/2006/main" w="20000">
              <a:solidFill>
                <a:srgbClr val="3B7EA1"/>
              </a:solidFill>
              <a:prstDash val="solid"/>
            </a:ln>
          </spPr>
          <cat>
            <numRef>
              <f>'A_利润表'!$B$53:$C$53</f>
            </numRef>
          </cat>
          <val>
            <numRef>
              <f>'A_利润表'!$B$55:$C$55</f>
            </numRef>
          </val>
        </ser>
        <ser>
          <idx val="2"/>
          <order val="2"/>
          <tx>
            <strRef>
              <f>'A_利润表'!A56</f>
            </strRef>
          </tx>
          <spPr>
            <a:solidFill xmlns:a="http://schemas.openxmlformats.org/drawingml/2006/main">
              <a:srgbClr val="5BB89E"/>
            </a:solidFill>
            <a:ln xmlns:a="http://schemas.openxmlformats.org/drawingml/2006/main" w="20000">
              <a:solidFill>
                <a:srgbClr val="5BB89E"/>
              </a:solidFill>
              <a:prstDash val="solid"/>
            </a:ln>
          </spPr>
          <cat>
            <numRef>
              <f>'A_利润表'!$B$53:$C$53</f>
            </numRef>
          </cat>
          <val>
            <numRef>
              <f>'A_利润表'!$B$56:$C$56</f>
            </numRef>
          </val>
        </ser>
        <ser>
          <idx val="3"/>
          <order val="3"/>
          <tx>
            <strRef>
              <f>'A_利润表'!A57</f>
            </strRef>
          </tx>
          <spPr>
            <a:solidFill xmlns:a="http://schemas.openxmlformats.org/drawingml/2006/main">
              <a:srgbClr val="F5A623"/>
            </a:solidFill>
            <a:ln xmlns:a="http://schemas.openxmlformats.org/drawingml/2006/main" w="20000">
              <a:solidFill>
                <a:srgbClr val="F5A623"/>
              </a:solidFill>
              <a:prstDash val="solid"/>
            </a:ln>
          </spPr>
          <cat>
            <numRef>
              <f>'A_利润表'!$B$53:$C$53</f>
            </numRef>
          </cat>
          <val>
            <numRef>
              <f>'A_利润表'!$B$57:$C$57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百万元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盈利比率(%)</a:t>
            </a:r>
          </a:p>
        </rich>
      </tx>
    </title>
    <plotArea>
      <lineChart>
        <grouping val="standard"/>
        <ser>
          <idx val="0"/>
          <order val="0"/>
          <tx>
            <strRef>
              <f>'A_利润表'!A81</f>
            </strRef>
          </tx>
          <spPr>
            <a:solidFill xmlns:a="http://schemas.openxmlformats.org/drawingml/2006/main">
              <a:srgbClr val="1F4E78"/>
            </a:solidFill>
            <a:ln xmlns:a="http://schemas.openxmlformats.org/drawingml/2006/main" w="20000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'A_利润表'!$B$80:$C$80</f>
            </numRef>
          </cat>
          <val>
            <numRef>
              <f>'A_利润表'!$B$81:$C$81</f>
            </numRef>
          </val>
          <smooth val="1"/>
        </ser>
        <ser>
          <idx val="1"/>
          <order val="1"/>
          <tx>
            <strRef>
              <f>'A_利润表'!A82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 w="20000">
              <a:solidFill>
                <a:srgbClr val="5482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'A_利润表'!$B$80:$C$80</f>
            </numRef>
          </cat>
          <val>
            <numRef>
              <f>'A_利润表'!$B$82:$C$82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四费 / 毛利(%)</a:t>
            </a:r>
          </a:p>
        </rich>
      </tx>
    </title>
    <plotArea>
      <lineChart>
        <grouping val="standard"/>
        <ser>
          <idx val="0"/>
          <order val="0"/>
          <tx>
            <strRef>
              <f>'A_利润表'!A106</f>
            </strRef>
          </tx>
          <spPr>
            <a:solidFill xmlns:a="http://schemas.openxmlformats.org/drawingml/2006/main">
              <a:srgbClr val="E84855"/>
            </a:solidFill>
            <a:ln xmlns:a="http://schemas.openxmlformats.org/drawingml/2006/main" w="20000">
              <a:solidFill>
                <a:srgbClr val="E8485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'A_利润表'!$B$105:$C$105</f>
            </numRef>
          </cat>
          <val>
            <numRef>
              <f>'A_利润表'!$B$106:$C$106</f>
            </numRef>
          </val>
          <smooth val="1"/>
        </ser>
        <ser>
          <idx val="1"/>
          <order val="1"/>
          <tx>
            <strRef>
              <f>'A_利润表'!A107</f>
            </strRef>
          </tx>
          <spPr>
            <a:solidFill xmlns:a="http://schemas.openxmlformats.org/drawingml/2006/main">
              <a:srgbClr val="3B7EA1"/>
            </a:solidFill>
            <a:ln xmlns:a="http://schemas.openxmlformats.org/drawingml/2006/main" w="20000">
              <a:solidFill>
                <a:srgbClr val="3B7EA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'A_利润表'!$B$105:$C$105</f>
            </numRef>
          </cat>
          <val>
            <numRef>
              <f>'A_利润表'!$B$107:$C$107</f>
            </numRef>
          </val>
          <smooth val="1"/>
        </ser>
        <ser>
          <idx val="2"/>
          <order val="2"/>
          <tx>
            <strRef>
              <f>'A_利润表'!A108</f>
            </strRef>
          </tx>
          <spPr>
            <a:solidFill xmlns:a="http://schemas.openxmlformats.org/drawingml/2006/main">
              <a:srgbClr val="5BB89E"/>
            </a:solidFill>
            <a:ln xmlns:a="http://schemas.openxmlformats.org/drawingml/2006/main" w="20000">
              <a:solidFill>
                <a:srgbClr val="5BB8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'A_利润表'!$B$105:$C$105</f>
            </numRef>
          </cat>
          <val>
            <numRef>
              <f>'A_利润表'!$B$108:$C$108</f>
            </numRef>
          </val>
          <smooth val="1"/>
        </ser>
        <ser>
          <idx val="3"/>
          <order val="3"/>
          <tx>
            <strRef>
              <f>'A_利润表'!A109</f>
            </strRef>
          </tx>
          <spPr>
            <a:solidFill xmlns:a="http://schemas.openxmlformats.org/drawingml/2006/main">
              <a:srgbClr val="F5A623"/>
            </a:solidFill>
            <a:ln xmlns:a="http://schemas.openxmlformats.org/drawingml/2006/main" w="20000">
              <a:solidFill>
                <a:srgbClr val="F5A62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'A_利润表'!$B$105:$C$105</f>
            </numRef>
          </cat>
          <val>
            <numRef>
              <f>'A_利润表'!$B$109:$C$109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占毛利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四费占毛利堆叠(%)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'A_利润表'!A133</f>
            </strRef>
          </tx>
          <spPr>
            <a:solidFill xmlns:a="http://schemas.openxmlformats.org/drawingml/2006/main">
              <a:srgbClr val="E84855"/>
            </a:solidFill>
            <a:ln xmlns:a="http://schemas.openxmlformats.org/drawingml/2006/main" w="20000">
              <a:solidFill>
                <a:srgbClr val="E84855"/>
              </a:solidFill>
              <a:prstDash val="solid"/>
            </a:ln>
          </spPr>
          <cat>
            <numRef>
              <f>'A_利润表'!$B$132:$C$132</f>
            </numRef>
          </cat>
          <val>
            <numRef>
              <f>'A_利润表'!$B$133:$C$133</f>
            </numRef>
          </val>
        </ser>
        <ser>
          <idx val="1"/>
          <order val="1"/>
          <tx>
            <strRef>
              <f>'A_利润表'!A134</f>
            </strRef>
          </tx>
          <spPr>
            <a:solidFill xmlns:a="http://schemas.openxmlformats.org/drawingml/2006/main">
              <a:srgbClr val="3B7EA1"/>
            </a:solidFill>
            <a:ln xmlns:a="http://schemas.openxmlformats.org/drawingml/2006/main" w="20000">
              <a:solidFill>
                <a:srgbClr val="3B7EA1"/>
              </a:solidFill>
              <a:prstDash val="solid"/>
            </a:ln>
          </spPr>
          <cat>
            <numRef>
              <f>'A_利润表'!$B$132:$C$132</f>
            </numRef>
          </cat>
          <val>
            <numRef>
              <f>'A_利润表'!$B$134:$C$134</f>
            </numRef>
          </val>
        </ser>
        <ser>
          <idx val="2"/>
          <order val="2"/>
          <tx>
            <strRef>
              <f>'A_利润表'!A135</f>
            </strRef>
          </tx>
          <spPr>
            <a:solidFill xmlns:a="http://schemas.openxmlformats.org/drawingml/2006/main">
              <a:srgbClr val="5BB89E"/>
            </a:solidFill>
            <a:ln xmlns:a="http://schemas.openxmlformats.org/drawingml/2006/main" w="20000">
              <a:solidFill>
                <a:srgbClr val="5BB89E"/>
              </a:solidFill>
              <a:prstDash val="solid"/>
            </a:ln>
          </spPr>
          <cat>
            <numRef>
              <f>'A_利润表'!$B$132:$C$132</f>
            </numRef>
          </cat>
          <val>
            <numRef>
              <f>'A_利润表'!$B$135:$C$135</f>
            </numRef>
          </val>
        </ser>
        <ser>
          <idx val="3"/>
          <order val="3"/>
          <tx>
            <strRef>
              <f>'A_利润表'!A136</f>
            </strRef>
          </tx>
          <spPr>
            <a:solidFill xmlns:a="http://schemas.openxmlformats.org/drawingml/2006/main">
              <a:srgbClr val="F5A623"/>
            </a:solidFill>
            <a:ln xmlns:a="http://schemas.openxmlformats.org/drawingml/2006/main" w="20000">
              <a:solidFill>
                <a:srgbClr val="F5A623"/>
              </a:solidFill>
              <a:prstDash val="solid"/>
            </a:ln>
          </spPr>
          <cat>
            <numRef>
              <f>'A_利润表'!$B$132:$C$132</f>
            </numRef>
          </cat>
          <val>
            <numRef>
              <f>'A_利润表'!$B$136:$C$136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占毛利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业务线收入占比(%)</a:t>
            </a:r>
          </a:p>
        </rich>
      </tx>
    </title>
    <plotArea>
      <barChart>
        <barDir val="bar"/>
        <grouping val="percentStacked"/>
        <ser>
          <idx val="0"/>
          <order val="0"/>
          <tx>
            <strRef>
              <f>'B_业务分析'!A11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20000">
              <a:solidFill>
                <a:srgbClr val="4472C4"/>
              </a:solidFill>
              <a:prstDash val="solid"/>
            </a:ln>
          </spPr>
          <cat>
            <numRef>
              <f>'B_业务分析'!$B$11:$C$11</f>
            </numRef>
          </cat>
          <val>
            <numRef>
              <f>'B_业务分析'!$B$11:$C$11</f>
            </numRef>
          </val>
        </ser>
        <ser>
          <idx val="1"/>
          <order val="1"/>
          <tx>
            <strRef>
              <f>'B_业务分析'!A12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20000">
              <a:solidFill>
                <a:srgbClr val="ED7D31"/>
              </a:solidFill>
              <a:prstDash val="solid"/>
            </a:ln>
          </spPr>
          <cat>
            <numRef>
              <f>'B_业务分析'!$B$11:$C$11</f>
            </numRef>
          </cat>
          <val>
            <numRef>
              <f>'B_业务分析'!$B$12:$C$12</f>
            </numRef>
          </val>
        </ser>
        <ser>
          <idx val="2"/>
          <order val="2"/>
          <tx>
            <strRef>
              <f>'B_业务分析'!A13</f>
            </strRef>
          </tx>
          <spPr>
            <a:solidFill xmlns:a="http://schemas.openxmlformats.org/drawingml/2006/main">
              <a:srgbClr val="A9D18E"/>
            </a:solidFill>
            <a:ln xmlns:a="http://schemas.openxmlformats.org/drawingml/2006/main" w="20000">
              <a:solidFill>
                <a:srgbClr val="A9D18E"/>
              </a:solidFill>
              <a:prstDash val="solid"/>
            </a:ln>
          </spPr>
          <cat>
            <numRef>
              <f>'B_业务分析'!$B$11:$C$11</f>
            </numRef>
          </cat>
          <val>
            <numRef>
              <f>'B_业务分析'!$B$13:$C$13</f>
            </numRef>
          </val>
        </ser>
        <ser>
          <idx val="3"/>
          <order val="3"/>
          <tx>
            <strRef>
              <f>'B_业务分析'!A14</f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 w="20000">
              <a:solidFill>
                <a:srgbClr val="FFC000"/>
              </a:solidFill>
              <a:prstDash val="solid"/>
            </a:ln>
          </spPr>
          <cat>
            <numRef>
              <f>'B_业务分析'!$B$11:$C$11</f>
            </numRef>
          </cat>
          <val>
            <numRef>
              <f>'B_业务分析'!$B$14:$C$14</f>
            </numRef>
          </val>
        </ser>
        <ser>
          <idx val="4"/>
          <order val="4"/>
          <tx>
            <strRef>
              <f>'B_业务分析'!A15</f>
            </strRef>
          </tx>
          <spPr>
            <a:ln xmlns:a="http://schemas.openxmlformats.org/drawingml/2006/main">
              <a:prstDash val="solid"/>
            </a:ln>
          </spPr>
          <cat>
            <numRef>
              <f>'B_业务分析'!$B$11:$C$11</f>
            </numRef>
          </cat>
          <val>
            <numRef>
              <f>'B_业务分析'!$B$15:$C$15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业务线毛利率(%)</a:t>
            </a:r>
          </a:p>
        </rich>
      </tx>
    </title>
    <plotArea>
      <lineChart>
        <grouping val="standard"/>
        <ser>
          <idx val="0"/>
          <order val="0"/>
          <tx>
            <strRef>
              <f>'B_业务分析'!A36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20000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'B_业务分析'!$B$36:$C$36</f>
            </numRef>
          </cat>
          <val>
            <numRef>
              <f>'B_业务分析'!$B$36:$C$36</f>
            </numRef>
          </val>
          <smooth val="1"/>
        </ser>
        <ser>
          <idx val="1"/>
          <order val="1"/>
          <tx>
            <strRef>
              <f>'B_业务分析'!A37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20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'B_业务分析'!$B$36:$C$36</f>
            </numRef>
          </cat>
          <val>
            <numRef>
              <f>'B_业务分析'!$B$37:$C$37</f>
            </numRef>
          </val>
          <smooth val="1"/>
        </ser>
        <ser>
          <idx val="2"/>
          <order val="2"/>
          <tx>
            <strRef>
              <f>'B_业务分析'!A38</f>
            </strRef>
          </tx>
          <spPr>
            <a:solidFill xmlns:a="http://schemas.openxmlformats.org/drawingml/2006/main">
              <a:srgbClr val="A9D18E"/>
            </a:solidFill>
            <a:ln xmlns:a="http://schemas.openxmlformats.org/drawingml/2006/main" w="20000">
              <a:solidFill>
                <a:srgbClr val="A9D1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'B_业务分析'!$B$36:$C$36</f>
            </numRef>
          </cat>
          <val>
            <numRef>
              <f>'B_业务分析'!$B$38:$C$38</f>
            </numRef>
          </val>
          <smooth val="1"/>
        </ser>
        <ser>
          <idx val="3"/>
          <order val="3"/>
          <tx>
            <strRef>
              <f>'B_业务分析'!A39</f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 w="20000">
              <a:solidFill>
                <a:srgbClr val="FFC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'B_业务分析'!$B$36:$C$36</f>
            </numRef>
          </cat>
          <val>
            <numRef>
              <f>'B_业务分析'!$B$39:$C$39</f>
            </numRef>
          </val>
          <smooth val="1"/>
        </ser>
        <ser>
          <idx val="4"/>
          <order val="4"/>
          <tx>
            <strRef>
              <f>'B_业务分析'!A40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'B_业务分析'!$B$36:$C$36</f>
            </numRef>
          </cat>
          <val>
            <numRef>
              <f>'B_业务分析'!$B$40:$C$40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分地区收入(百万元)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'B_业务分析'!A63</f>
            </strRef>
          </tx>
          <spPr>
            <a:solidFill xmlns:a="http://schemas.openxmlformats.org/drawingml/2006/main">
              <a:srgbClr val="1F4E78"/>
            </a:solidFill>
            <a:ln xmlns:a="http://schemas.openxmlformats.org/drawingml/2006/main" w="20000">
              <a:solidFill>
                <a:srgbClr val="1F4E78"/>
              </a:solidFill>
              <a:prstDash val="solid"/>
            </a:ln>
          </spPr>
          <cat>
            <numRef>
              <f>'B_业务分析'!$B$63:$C$63</f>
            </numRef>
          </cat>
          <val>
            <numRef>
              <f>'B_业务分析'!$B$63:$C$63</f>
            </numRef>
          </val>
        </ser>
        <ser>
          <idx val="1"/>
          <order val="1"/>
          <tx>
            <strRef>
              <f>'B_业务分析'!A64</f>
            </strRef>
          </tx>
          <spPr>
            <a:solidFill xmlns:a="http://schemas.openxmlformats.org/drawingml/2006/main">
              <a:srgbClr val="C55A11"/>
            </a:solidFill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cat>
            <numRef>
              <f>'B_业务分析'!$B$63:$C$63</f>
            </numRef>
          </cat>
          <val>
            <numRef>
              <f>'B_业务分析'!$B$64:$C$64</f>
            </numRef>
          </val>
        </ser>
        <ser>
          <idx val="2"/>
          <order val="2"/>
          <tx>
            <strRef>
              <f>'B_业务分析'!A65</f>
            </strRef>
          </tx>
          <spPr>
            <a:ln xmlns:a="http://schemas.openxmlformats.org/drawingml/2006/main">
              <a:prstDash val="solid"/>
            </a:ln>
          </spPr>
          <cat>
            <numRef>
              <f>'B_业务分析'!$B$63:$C$63</f>
            </numRef>
          </cat>
          <val>
            <numRef>
              <f>'B_业务分析'!$B$65:$C$65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百万元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前五大集中度(%)</a:t>
            </a:r>
          </a:p>
        </rich>
      </tx>
    </title>
    <plotArea>
      <lineChart>
        <grouping val="standard"/>
        <ser>
          <idx val="0"/>
          <order val="0"/>
          <tx>
            <strRef>
              <f>'B_业务分析'!A88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'B_业务分析'!$B$88:$C$88</f>
            </numRef>
          </cat>
          <val>
            <numRef>
              <f>'B_业务分析'!$B$88:$C$88</f>
            </numRef>
          </val>
          <smooth val="1"/>
        </ser>
        <ser>
          <idx val="1"/>
          <order val="1"/>
          <tx>
            <strRef>
              <f>'B_业务分析'!A89</f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 w="20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'B_业务分析'!$B$88:$C$88</f>
            </numRef>
          </cat>
          <val>
            <numRef>
              <f>'B_业务分析'!$B$89:$C$89</f>
            </numRef>
          </val>
          <smooth val="1"/>
        </ser>
        <ser>
          <idx val="2"/>
          <order val="2"/>
          <tx>
            <strRef>
              <f>'B_业务分析'!A90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'B_业务分析'!$B$88:$C$88</f>
            </numRef>
          </cat>
          <val>
            <numRef>
              <f>'B_业务分析'!$B$90:$C$90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2024年客户集中度</a:t>
            </a:r>
          </a:p>
        </rich>
      </tx>
    </title>
    <plotArea>
      <pieChart>
        <varyColors val="1"/>
        <ser>
          <idx val="0"/>
          <order val="0"/>
          <tx>
            <strRef>
              <f>'B_业务分析'!B111</f>
            </strRef>
          </tx>
          <spPr>
            <a:ln xmlns:a="http://schemas.openxmlformats.org/drawingml/2006/main">
              <a:prstDash val="solid"/>
            </a:ln>
          </spPr>
          <cat>
            <numRef>
              <f>'B_业务分析'!$A$112:$A$113</f>
            </numRef>
          </cat>
          <val>
            <numRef>
              <f>'B_业务分析'!$B$112:$B$113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2024年供应商集中度</a:t>
            </a:r>
          </a:p>
        </rich>
      </tx>
    </title>
    <plotArea>
      <pieChart>
        <varyColors val="1"/>
        <ser>
          <idx val="0"/>
          <order val="0"/>
          <tx>
            <strRef>
              <f>'B_业务分析'!C111</f>
            </strRef>
          </tx>
          <spPr>
            <a:ln xmlns:a="http://schemas.openxmlformats.org/drawingml/2006/main">
              <a:prstDash val="solid"/>
            </a:ln>
          </spPr>
          <cat>
            <numRef>
              <f>'B_业务分析'!$A$112:$A$113</f>
            </numRef>
          </cat>
          <val>
            <numRef>
              <f>'B_业务分析'!$C$112:$C$113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员工总数 vs 技术人员(万人)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'B_业务分析'!A136</f>
            </strRef>
          </tx>
          <spPr>
            <a:solidFill xmlns:a="http://schemas.openxmlformats.org/drawingml/2006/main">
              <a:srgbClr val="1F4E78"/>
            </a:solidFill>
            <a:ln xmlns:a="http://schemas.openxmlformats.org/drawingml/2006/main" w="20000">
              <a:solidFill>
                <a:srgbClr val="1F4E78"/>
              </a:solidFill>
              <a:prstDash val="solid"/>
            </a:ln>
          </spPr>
          <cat>
            <numRef>
              <f>'B_业务分析'!$B$136:$C$136</f>
            </numRef>
          </cat>
          <val>
            <numRef>
              <f>'B_业务分析'!$B$136:$C$136</f>
            </numRef>
          </val>
        </ser>
        <ser>
          <idx val="1"/>
          <order val="1"/>
          <tx>
            <strRef>
              <f>'B_业务分析'!A137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 w="20000">
              <a:solidFill>
                <a:srgbClr val="70AD47"/>
              </a:solidFill>
              <a:prstDash val="solid"/>
            </a:ln>
          </spPr>
          <cat>
            <numRef>
              <f>'B_业务分析'!$B$136:$C$136</f>
            </numRef>
          </cat>
          <val>
            <numRef>
              <f>'B_业务分析'!$B$137:$C$137</f>
            </numRef>
          </val>
        </ser>
        <ser>
          <idx val="2"/>
          <order val="2"/>
          <tx>
            <strRef>
              <f>'B_业务分析'!A138</f>
            </strRef>
          </tx>
          <spPr>
            <a:ln xmlns:a="http://schemas.openxmlformats.org/drawingml/2006/main">
              <a:prstDash val="solid"/>
            </a:ln>
          </spPr>
          <cat>
            <numRef>
              <f>'B_业务分析'!$B$136:$C$136</f>
            </numRef>
          </cat>
          <val>
            <numRef>
              <f>'B_业务分析'!$B$138:$C$138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万人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三类现金流净额(百万元)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'C_现金流'!A6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 w="20000">
              <a:solidFill>
                <a:srgbClr val="548235"/>
              </a:solidFill>
              <a:prstDash val="solid"/>
            </a:ln>
          </spPr>
          <cat>
            <numRef>
              <f>'C_现金流'!$B$5:$C$5</f>
            </numRef>
          </cat>
          <val>
            <numRef>
              <f>'C_现金流'!$B$6:$C$6</f>
            </numRef>
          </val>
        </ser>
        <ser>
          <idx val="1"/>
          <order val="1"/>
          <tx>
            <strRef>
              <f>'C_现金流'!A7</f>
            </strRef>
          </tx>
          <spPr>
            <a:solidFill xmlns:a="http://schemas.openxmlformats.org/drawingml/2006/main">
              <a:srgbClr val="C55A11"/>
            </a:solidFill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cat>
            <numRef>
              <f>'C_现金流'!$B$5:$C$5</f>
            </numRef>
          </cat>
          <val>
            <numRef>
              <f>'C_现金流'!$B$7:$C$7</f>
            </numRef>
          </val>
        </ser>
        <ser>
          <idx val="2"/>
          <order val="2"/>
          <tx>
            <strRef>
              <f>'C_现金流'!A8</f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 w="20000">
              <a:solidFill>
                <a:srgbClr val="5B9BD5"/>
              </a:solidFill>
              <a:prstDash val="solid"/>
            </a:ln>
          </spPr>
          <cat>
            <numRef>
              <f>'C_现金流'!$B$5:$C$5</f>
            </numRef>
          </cat>
          <val>
            <numRef>
              <f>'C_现金流'!$B$8:$C$8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百万元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OCF vs 净利润(百万元)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'C_现金流'!A32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 w="20000">
              <a:solidFill>
                <a:srgbClr val="548235"/>
              </a:solidFill>
              <a:prstDash val="solid"/>
            </a:ln>
          </spPr>
          <cat>
            <numRef>
              <f>'C_现金流'!$B$31:$C$31</f>
            </numRef>
          </cat>
          <val>
            <numRef>
              <f>'C_现金流'!$B$32:$C$32</f>
            </numRef>
          </val>
        </ser>
        <ser>
          <idx val="1"/>
          <order val="1"/>
          <tx>
            <strRef>
              <f>'C_现金流'!A33</f>
            </strRef>
          </tx>
          <spPr>
            <a:solidFill xmlns:a="http://schemas.openxmlformats.org/drawingml/2006/main">
              <a:srgbClr val="1F4E78"/>
            </a:solidFill>
            <a:ln xmlns:a="http://schemas.openxmlformats.org/drawingml/2006/main" w="20000">
              <a:solidFill>
                <a:srgbClr val="1F4E78"/>
              </a:solidFill>
              <a:prstDash val="solid"/>
            </a:ln>
          </spPr>
          <cat>
            <numRef>
              <f>'C_现金流'!$B$31:$C$31</f>
            </numRef>
          </cat>
          <val>
            <numRef>
              <f>'C_现金流'!$B$33:$C$33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百万元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资本开支 Capex(百万元)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'C_现金流'!A58</f>
            </strRef>
          </tx>
          <spPr>
            <a:solidFill xmlns:a="http://schemas.openxmlformats.org/drawingml/2006/main">
              <a:srgbClr val="7030A0"/>
            </a:solidFill>
            <a:ln xmlns:a="http://schemas.openxmlformats.org/drawingml/2006/main" w="20000">
              <a:solidFill>
                <a:srgbClr val="7030A0"/>
              </a:solidFill>
              <a:prstDash val="solid"/>
            </a:ln>
          </spPr>
          <cat>
            <numRef>
              <f>'C_现金流'!$B$57:$C$57</f>
            </numRef>
          </cat>
          <val>
            <numRef>
              <f>'C_现金流'!$B$58:$C$58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百万元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自由现金流 FCF(百万元)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'C_现金流'!A83</f>
            </strRef>
          </tx>
          <spPr>
            <a:solidFill xmlns:a="http://schemas.openxmlformats.org/drawingml/2006/main">
              <a:srgbClr val="BF9000"/>
            </a:solidFill>
            <a:ln xmlns:a="http://schemas.openxmlformats.org/drawingml/2006/main" w="20000">
              <a:solidFill>
                <a:srgbClr val="BF9000"/>
              </a:solidFill>
              <a:prstDash val="solid"/>
            </a:ln>
          </spPr>
          <cat>
            <numRef>
              <f>'C_现金流'!$B$82:$C$82</f>
            </numRef>
          </cat>
          <val>
            <numRef>
              <f>'C_现金流'!$B$83:$C$83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百万元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股东回报(百万元)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'C_现金流'!A108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cat>
            <numRef>
              <f>'C_现金流'!$B$107:$C$107</f>
            </numRef>
          </cat>
          <val>
            <numRef>
              <f>'C_现金流'!$B$108:$C$108</f>
            </numRef>
          </val>
        </ser>
        <ser>
          <idx val="1"/>
          <order val="1"/>
          <tx>
            <strRef>
              <f>'C_现金流'!A109</f>
            </strRef>
          </tx>
          <spPr>
            <a:solidFill xmlns:a="http://schemas.openxmlformats.org/drawingml/2006/main">
              <a:srgbClr val="806000"/>
            </a:solidFill>
            <a:ln xmlns:a="http://schemas.openxmlformats.org/drawingml/2006/main" w="20000">
              <a:solidFill>
                <a:srgbClr val="806000"/>
              </a:solidFill>
              <a:prstDash val="solid"/>
            </a:ln>
          </spPr>
          <cat>
            <numRef>
              <f>'C_现金流'!$B$107:$C$107</f>
            </numRef>
          </cat>
          <val>
            <numRef>
              <f>'C_现金流'!$B$109:$C$109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百万元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期末现金及等价物余额(百万元)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'C_现金流'!A134</f>
            </strRef>
          </tx>
          <spPr>
            <a:solidFill xmlns:a="http://schemas.openxmlformats.org/drawingml/2006/main">
              <a:srgbClr val="385723"/>
            </a:solidFill>
            <a:ln xmlns:a="http://schemas.openxmlformats.org/drawingml/2006/main" w="20000">
              <a:solidFill>
                <a:srgbClr val="385723"/>
              </a:solidFill>
              <a:prstDash val="solid"/>
            </a:ln>
          </spPr>
          <cat>
            <numRef>
              <f>'C_现金流'!$B$133:$C$133</f>
            </numRef>
          </cat>
          <val>
            <numRef>
              <f>'C_现金流'!$B$134:$C$134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百万元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资产 / 负债 / 所有者权益(百万元)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'D_资产负债表'!A6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 w="20000">
              <a:solidFill>
                <a:srgbClr val="2E75B6"/>
              </a:solidFill>
              <a:prstDash val="solid"/>
            </a:ln>
          </spPr>
          <cat>
            <numRef>
              <f>'D_资产负债表'!$B$5:$C$5</f>
            </numRef>
          </cat>
          <val>
            <numRef>
              <f>'D_资产负债表'!$B$6:$C$6</f>
            </numRef>
          </val>
        </ser>
        <ser>
          <idx val="1"/>
          <order val="1"/>
          <tx>
            <strRef>
              <f>'D_资产负债表'!A7</f>
            </strRef>
          </tx>
          <spPr>
            <a:solidFill xmlns:a="http://schemas.openxmlformats.org/drawingml/2006/main">
              <a:srgbClr val="C55A11"/>
            </a:solidFill>
            <a:ln xmlns:a="http://schemas.openxmlformats.org/drawingml/2006/main" w="20000">
              <a:solidFill>
                <a:srgbClr val="C55A11"/>
              </a:solidFill>
              <a:prstDash val="solid"/>
            </a:ln>
          </spPr>
          <cat>
            <numRef>
              <f>'D_资产负债表'!$B$5:$C$5</f>
            </numRef>
          </cat>
          <val>
            <numRef>
              <f>'D_资产负债表'!$B$7:$C$7</f>
            </numRef>
          </val>
        </ser>
        <ser>
          <idx val="2"/>
          <order val="2"/>
          <tx>
            <strRef>
              <f>'D_资产负债表'!A8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 w="20000">
              <a:solidFill>
                <a:srgbClr val="548235"/>
              </a:solidFill>
              <a:prstDash val="solid"/>
            </a:ln>
          </spPr>
          <cat>
            <numRef>
              <f>'D_资产负债表'!$B$5:$C$5</f>
            </numRef>
          </cat>
          <val>
            <numRef>
              <f>'D_资产负债表'!$B$8:$C$8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百万元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杠杆趋势(%)</a:t>
            </a:r>
          </a:p>
        </rich>
      </tx>
    </title>
    <plotArea>
      <lineChart>
        <grouping val="standard"/>
        <ser>
          <idx val="0"/>
          <order val="0"/>
          <tx>
            <strRef>
              <f>'D_资产负债表'!A33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'D_资产负债表'!$B$32:$C$32</f>
            </numRef>
          </cat>
          <val>
            <numRef>
              <f>'D_资产负债表'!$B$33:$C$33</f>
            </numRef>
          </val>
          <smooth val="1"/>
        </ser>
        <ser>
          <idx val="1"/>
          <order val="1"/>
          <tx>
            <strRef>
              <f>'D_资产负债表'!A34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20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'D_资产负债表'!$B$32:$C$32</f>
            </numRef>
          </cat>
          <val>
            <numRef>
              <f>'D_资产负债表'!$B$34:$C$34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有息负债结构(百万元)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'D_资产负债表'!A58</f>
            </strRef>
          </tx>
          <spPr>
            <a:solidFill xmlns:a="http://schemas.openxmlformats.org/drawingml/2006/main">
              <a:srgbClr val="E84855"/>
            </a:solidFill>
            <a:ln xmlns:a="http://schemas.openxmlformats.org/drawingml/2006/main" w="20000">
              <a:solidFill>
                <a:srgbClr val="E84855"/>
              </a:solidFill>
              <a:prstDash val="solid"/>
            </a:ln>
          </spPr>
          <cat>
            <numRef>
              <f>'D_资产负债表'!$B$57:$C$57</f>
            </numRef>
          </cat>
          <val>
            <numRef>
              <f>'D_资产负债表'!$B$58:$C$58</f>
            </numRef>
          </val>
        </ser>
        <ser>
          <idx val="1"/>
          <order val="1"/>
          <tx>
            <strRef>
              <f>'D_资产负债表'!A59</f>
            </strRef>
          </tx>
          <spPr>
            <a:solidFill xmlns:a="http://schemas.openxmlformats.org/drawingml/2006/main">
              <a:srgbClr val="F4978E"/>
            </a:solidFill>
            <a:ln xmlns:a="http://schemas.openxmlformats.org/drawingml/2006/main" w="20000">
              <a:solidFill>
                <a:srgbClr val="F4978E"/>
              </a:solidFill>
              <a:prstDash val="solid"/>
            </a:ln>
          </spPr>
          <cat>
            <numRef>
              <f>'D_资产负债表'!$B$57:$C$57</f>
            </numRef>
          </cat>
          <val>
            <numRef>
              <f>'D_资产负债表'!$B$59:$C$59</f>
            </numRef>
          </val>
        </ser>
        <ser>
          <idx val="2"/>
          <order val="2"/>
          <tx>
            <strRef>
              <f>'D_资产负债表'!A60</f>
            </strRef>
          </tx>
          <spPr>
            <a:solidFill xmlns:a="http://schemas.openxmlformats.org/drawingml/2006/main">
              <a:srgbClr val="8B0000"/>
            </a:solidFill>
            <a:ln xmlns:a="http://schemas.openxmlformats.org/drawingml/2006/main" w="20000">
              <a:solidFill>
                <a:srgbClr val="8B0000"/>
              </a:solidFill>
              <a:prstDash val="solid"/>
            </a:ln>
          </spPr>
          <cat>
            <numRef>
              <f>'D_资产负债表'!$B$57:$C$57</f>
            </numRef>
          </cat>
          <val>
            <numRef>
              <f>'D_资产负债表'!$B$60:$C$60</f>
            </numRef>
          </val>
        </ser>
        <ser>
          <idx val="3"/>
          <order val="3"/>
          <tx>
            <strRef>
              <f>'D_资产负债表'!A61</f>
            </strRef>
          </tx>
          <spPr>
            <a:solidFill xmlns:a="http://schemas.openxmlformats.org/drawingml/2006/main">
              <a:srgbClr val="F5A623"/>
            </a:solidFill>
            <a:ln xmlns:a="http://schemas.openxmlformats.org/drawingml/2006/main" w="20000">
              <a:solidFill>
                <a:srgbClr val="F5A623"/>
              </a:solidFill>
              <a:prstDash val="solid"/>
            </a:ln>
          </spPr>
          <cat>
            <numRef>
              <f>'D_资产负债表'!$B$57:$C$57</f>
            </numRef>
          </cat>
          <val>
            <numRef>
              <f>'D_资产负债表'!$B$61:$C$61</f>
            </numRef>
          </val>
        </ser>
        <ser>
          <idx val="4"/>
          <order val="4"/>
          <tx>
            <strRef>
              <f>'D_资产负债表'!A62</f>
            </strRef>
          </tx>
          <spPr>
            <a:solidFill xmlns:a="http://schemas.openxmlformats.org/drawingml/2006/main">
              <a:srgbClr val="9C6B30"/>
            </a:solidFill>
            <a:ln xmlns:a="http://schemas.openxmlformats.org/drawingml/2006/main" w="20000">
              <a:solidFill>
                <a:srgbClr val="9C6B30"/>
              </a:solidFill>
              <a:prstDash val="solid"/>
            </a:ln>
          </spPr>
          <cat>
            <numRef>
              <f>'D_资产负债表'!$B$57:$C$57</f>
            </numRef>
          </cat>
          <val>
            <numRef>
              <f>'D_资产负债表'!$B$62:$C$62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百万元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营运资本周转(天)</a:t>
            </a:r>
          </a:p>
        </rich>
      </tx>
    </title>
    <plotArea>
      <lineChart>
        <grouping val="standard"/>
        <ser>
          <idx val="0"/>
          <order val="0"/>
          <tx>
            <strRef>
              <f>'D_资产负债表'!A89</f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 w="20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'D_资产负债表'!$B$88:$C$88</f>
            </numRef>
          </cat>
          <val>
            <numRef>
              <f>'D_资产负债表'!$B$89:$C$89</f>
            </numRef>
          </val>
          <smooth val="1"/>
        </ser>
        <ser>
          <idx val="1"/>
          <order val="1"/>
          <tx>
            <strRef>
              <f>'D_资产负债表'!A90</f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 w="20000">
              <a:solidFill>
                <a:srgbClr val="FFC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'D_资产负债表'!$B$88:$C$88</f>
            </numRef>
          </cat>
          <val>
            <numRef>
              <f>'D_资产负债表'!$B$90:$C$90</f>
            </numRef>
          </val>
          <smooth val="1"/>
        </ser>
        <ser>
          <idx val="2"/>
          <order val="2"/>
          <tx>
            <strRef>
              <f>'D_资产负债表'!A91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'D_资产负债表'!$B$88:$C$88</f>
            </numRef>
          </cat>
          <val>
            <numRef>
              <f>'D_资产负债表'!$B$91:$C$91</f>
            </numRef>
          </val>
          <smooth val="1"/>
        </ser>
        <ser>
          <idx val="3"/>
          <order val="3"/>
          <tx>
            <strRef>
              <f>'D_资产负债表'!A92</f>
            </strRef>
          </tx>
          <spPr>
            <a:solidFill xmlns:a="http://schemas.openxmlformats.org/drawingml/2006/main">
              <a:srgbClr val="7030A0"/>
            </a:solidFill>
            <a:ln xmlns:a="http://schemas.openxmlformats.org/drawingml/2006/main" w="20000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'D_资产负债表'!$B$88:$C$88</f>
            </numRef>
          </cat>
          <val>
            <numRef>
              <f>'D_资产负债表'!$B$92:$C$92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2024年末资产结构</a:t>
            </a:r>
          </a:p>
        </rich>
      </tx>
    </title>
    <plotArea>
      <pieChart>
        <varyColors val="1"/>
        <ser>
          <idx val="0"/>
          <order val="0"/>
          <tx>
            <strRef>
              <f>'D_资产负债表'!B115</f>
            </strRef>
          </tx>
          <spPr>
            <a:ln xmlns:a="http://schemas.openxmlformats.org/drawingml/2006/main">
              <a:prstDash val="solid"/>
            </a:ln>
          </spPr>
          <cat>
            <numRef>
              <f>'D_资产负债表'!$A$116:$A$122</f>
            </numRef>
          </cat>
          <val>
            <numRef>
              <f>'D_资产负债表'!$B$116:$B$122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回报指标趋势(%)</a:t>
            </a:r>
          </a:p>
        </rich>
      </tx>
    </title>
    <plotArea>
      <lineChart>
        <grouping val="standard"/>
        <ser>
          <idx val="0"/>
          <order val="0"/>
          <tx>
            <strRef>
              <f>'E_回报指标'!A6</f>
            </strRef>
          </tx>
          <spPr>
            <a:solidFill xmlns:a="http://schemas.openxmlformats.org/drawingml/2006/main">
              <a:srgbClr val="1F4E78"/>
            </a:solidFill>
            <a:ln xmlns:a="http://schemas.openxmlformats.org/drawingml/2006/main" w="20000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'E_回报指标'!$B$5:$C$5</f>
            </numRef>
          </cat>
          <val>
            <numRef>
              <f>'E_回报指标'!$B$6:$C$6</f>
            </numRef>
          </val>
          <smooth val="1"/>
        </ser>
        <ser>
          <idx val="1"/>
          <order val="1"/>
          <tx>
            <strRef>
              <f>'E_回报指标'!A7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 w="20000">
              <a:solidFill>
                <a:srgbClr val="5482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'E_回报指标'!$B$5:$C$5</f>
            </numRef>
          </cat>
          <val>
            <numRef>
              <f>'E_回报指标'!$B$7:$C$7</f>
            </numRef>
          </val>
          <smooth val="1"/>
        </ser>
        <ser>
          <idx val="2"/>
          <order val="2"/>
          <tx>
            <strRef>
              <f>'E_回报指标'!A8</f>
            </strRef>
          </tx>
          <spPr>
            <a:solidFill xmlns:a="http://schemas.openxmlformats.org/drawingml/2006/main">
              <a:srgbClr val="BF9000"/>
            </a:solidFill>
            <a:ln xmlns:a="http://schemas.openxmlformats.org/drawingml/2006/main" w="20000">
              <a:solidFill>
                <a:srgbClr val="BF9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'E_回报指标'!$B$5:$C$5</f>
            </numRef>
          </cat>
          <val>
            <numRef>
              <f>'E_回报指标'!$B$8:$C$8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杜邦三因子分解</a:t>
            </a:r>
          </a:p>
        </rich>
      </tx>
    </title>
    <plotArea>
      <lineChart>
        <grouping val="standard"/>
        <ser>
          <idx val="0"/>
          <order val="0"/>
          <tx>
            <strRef>
              <f>'E_回报指标'!A32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 w="20000">
              <a:solidFill>
                <a:srgbClr val="5482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'E_回报指标'!$B$31:$C$31</f>
            </numRef>
          </cat>
          <val>
            <numRef>
              <f>'E_回报指标'!$B$32:$C$32</f>
            </numRef>
          </val>
          <smooth val="1"/>
        </ser>
        <ser>
          <idx val="1"/>
          <order val="1"/>
          <tx>
            <strRef>
              <f>'E_回报指标'!A33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 w="2000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'E_回报指标'!$B$31:$C$31</f>
            </numRef>
          </cat>
          <val>
            <numRef>
              <f>'E_回报指标'!$B$33:$C$33</f>
            </numRef>
          </val>
          <smooth val="1"/>
        </ser>
        <ser>
          <idx val="2"/>
          <order val="2"/>
          <tx>
            <strRef>
              <f>'E_回报指标'!A34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20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'E_回报指标'!$B$31:$C$31</f>
            </numRef>
          </cat>
          <val>
            <numRef>
              <f>'E_回报指标'!$B$34:$C$34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%(净利率)/ 次 / 倍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image" Target="/xl/media/image1.png" Id="rId6"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Relationship Type="http://schemas.openxmlformats.org/officeDocument/2006/relationships/chart" Target="/xl/charts/chart8.xml" Id="rId3"/><Relationship Type="http://schemas.openxmlformats.org/officeDocument/2006/relationships/chart" Target="/xl/charts/chart9.xml" Id="rId4"/><Relationship Type="http://schemas.openxmlformats.org/officeDocument/2006/relationships/chart" Target="/xl/charts/chart10.xml" Id="rId5"/><Relationship Type="http://schemas.openxmlformats.org/officeDocument/2006/relationships/chart" Target="/xl/charts/chart11.xml" Id="rId6"/><Relationship Type="http://schemas.openxmlformats.org/officeDocument/2006/relationships/chart" Target="/xl/charts/chart12.xml" Id="rId7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Relationship Type="http://schemas.openxmlformats.org/officeDocument/2006/relationships/chart" Target="/xl/charts/chart16.xml" Id="rId4"/><Relationship Type="http://schemas.openxmlformats.org/officeDocument/2006/relationships/chart" Target="/xl/charts/chart17.xml" Id="rId5"/><Relationship Type="http://schemas.openxmlformats.org/officeDocument/2006/relationships/chart" Target="/xl/charts/chart18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Relationship Type="http://schemas.openxmlformats.org/officeDocument/2006/relationships/chart" Target="/xl/charts/chart21.xml" Id="rId3"/><Relationship Type="http://schemas.openxmlformats.org/officeDocument/2006/relationships/chart" Target="/xl/charts/chart22.xml" Id="rId4"/><Relationship Type="http://schemas.openxmlformats.org/officeDocument/2006/relationships/chart" Target="/xl/charts/chart23.xml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31</row>
      <rowOff>0</rowOff>
    </from>
    <ext cx="79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58</row>
      <rowOff>0</rowOff>
    </from>
    <ext cx="792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83</row>
      <rowOff>0</rowOff>
    </from>
    <ext cx="792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110</row>
      <rowOff>0</rowOff>
    </from>
    <ext cx="7920000" cy="34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137</row>
      <rowOff>0</rowOff>
    </from>
    <ext cx="7920000" cy="34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3</row>
      <rowOff>0</rowOff>
    </from>
    <ext cx="8286750" cy="2838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16</row>
      <rowOff>0</rowOff>
    </from>
    <ext cx="79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41</row>
      <rowOff>0</rowOff>
    </from>
    <ext cx="792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66</row>
      <rowOff>0</rowOff>
    </from>
    <ext cx="792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91</row>
      <rowOff>0</rowOff>
    </from>
    <ext cx="7920000" cy="34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114</row>
      <rowOff>0</rowOff>
    </from>
    <ext cx="3960000" cy="34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</col>
      <colOff>0</colOff>
      <row>114</row>
      <rowOff>0</rowOff>
    </from>
    <ext cx="3960000" cy="34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141</row>
      <rowOff>0</rowOff>
    </from>
    <ext cx="7920000" cy="34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9</row>
      <rowOff>0</rowOff>
    </from>
    <ext cx="79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35</row>
      <rowOff>0</rowOff>
    </from>
    <ext cx="792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60</row>
      <rowOff>0</rowOff>
    </from>
    <ext cx="792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85</row>
      <rowOff>0</rowOff>
    </from>
    <ext cx="7920000" cy="34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111</row>
      <rowOff>0</rowOff>
    </from>
    <ext cx="7920000" cy="34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136</row>
      <rowOff>0</rowOff>
    </from>
    <ext cx="7920000" cy="34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10</row>
      <rowOff>0</rowOff>
    </from>
    <ext cx="79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35</row>
      <rowOff>0</rowOff>
    </from>
    <ext cx="792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66</row>
      <rowOff>0</rowOff>
    </from>
    <ext cx="792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93</row>
      <rowOff>0</rowOff>
    </from>
    <ext cx="7920000" cy="34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123</row>
      <rowOff>0</rowOff>
    </from>
    <ext cx="7920000" cy="34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9</row>
      <rowOff>0</rowOff>
    </from>
    <ext cx="79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35</row>
      <rowOff>0</rowOff>
    </from>
    <ext cx="792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28" customWidth="1" min="4" max="4"/>
  </cols>
  <sheetData>
    <row r="1" ht="30" customHeight="1">
      <c r="A1" s="1" t="inlineStr">
        <is>
          <t>腾讯控股 2023-2024 利润表(A 类)</t>
        </is>
      </c>
    </row>
    <row r="2" ht="22" customHeight="1">
      <c r="A2" s="2" t="inlineStr">
        <is>
          <t>数据源:2024.json    |    金额单位:百万元    |    比率单位:%</t>
        </is>
      </c>
    </row>
    <row r="3" ht="26" customHeight="1">
      <c r="A3" s="3" t="inlineStr">
        <is>
          <t>0. 收支拆解(2024年)  — 收入=橙 / 成本=蓝 / 利润=红 / 净利=绿</t>
        </is>
      </c>
    </row>
    <row r="4" ht="22" customHeight="1"/>
    <row r="5" ht="22" customHeight="1"/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8" customHeight="1"/>
    <row r="25" ht="8" customHeight="1"/>
    <row r="26" ht="26" customHeight="1">
      <c r="A26" s="3" t="inlineStr">
        <is>
          <t>1. 营业收入 / 毛利 / 净利润(百万元)</t>
        </is>
      </c>
    </row>
    <row r="27" ht="36" customHeight="1">
      <c r="A27" s="4" t="inlineStr">
        <is>
          <t>指标(百万元)</t>
        </is>
      </c>
      <c r="B27" s="4" t="inlineStr">
        <is>
          <t>2023</t>
        </is>
      </c>
      <c r="C27" s="4" t="inlineStr">
        <is>
          <t>2024</t>
        </is>
      </c>
    </row>
    <row r="28" ht="22" customHeight="1">
      <c r="A28" s="5" t="inlineStr">
        <is>
          <t>营业总收入</t>
        </is>
      </c>
      <c r="B28" s="6" t="n">
        <v>609015</v>
      </c>
      <c r="C28" s="6" t="n">
        <v>660257</v>
      </c>
    </row>
    <row r="29" ht="22" customHeight="1">
      <c r="A29" s="5" t="inlineStr">
        <is>
          <t>毛利</t>
        </is>
      </c>
      <c r="B29" s="6" t="n">
        <v>293109</v>
      </c>
      <c r="C29" s="6" t="n">
        <v>349246</v>
      </c>
    </row>
    <row r="30" ht="22" customHeight="1">
      <c r="A30" s="5" t="inlineStr">
        <is>
          <t>净利润(合并)</t>
        </is>
      </c>
      <c r="B30" s="6" t="n">
        <v>118048</v>
      </c>
      <c r="C30" s="6" t="n">
        <v>196467</v>
      </c>
    </row>
    <row r="31" ht="8" customHeight="1"/>
    <row r="51" ht="8" customHeight="1"/>
    <row r="52" ht="26" customHeight="1">
      <c r="A52" s="3" t="inlineStr">
        <is>
          <t>2. 四费(销售 / 管理 / 研发 / 财务,百万元)</t>
        </is>
      </c>
    </row>
    <row r="53" ht="36" customHeight="1">
      <c r="A53" s="4" t="inlineStr">
        <is>
          <t>指标(百万元)</t>
        </is>
      </c>
      <c r="B53" s="4" t="inlineStr">
        <is>
          <t>2023</t>
        </is>
      </c>
      <c r="C53" s="4" t="inlineStr">
        <is>
          <t>2024</t>
        </is>
      </c>
    </row>
    <row r="54" ht="22" customHeight="1">
      <c r="A54" s="5" t="inlineStr">
        <is>
          <t>销售费用</t>
        </is>
      </c>
      <c r="B54" s="6" t="n">
        <v>34211</v>
      </c>
      <c r="C54" s="6" t="n">
        <v>36388</v>
      </c>
    </row>
    <row r="55" ht="22" customHeight="1">
      <c r="A55" s="5" t="inlineStr">
        <is>
          <t>管理费用</t>
        </is>
      </c>
      <c r="B55" s="6" t="n">
        <v>103525</v>
      </c>
      <c r="C55" s="6" t="n">
        <v>112761</v>
      </c>
    </row>
    <row r="56" ht="22" customHeight="1">
      <c r="A56" s="5" t="inlineStr">
        <is>
          <t>研发费用</t>
        </is>
      </c>
      <c r="B56" s="6" t="n">
        <v>64078</v>
      </c>
      <c r="C56" s="6" t="n">
        <v>70686</v>
      </c>
    </row>
    <row r="57" ht="22" customHeight="1">
      <c r="A57" s="5" t="inlineStr">
        <is>
          <t>财务费用(净)</t>
        </is>
      </c>
      <c r="B57" s="6" t="n">
        <v>12268</v>
      </c>
      <c r="C57" s="6" t="n">
        <v>11981</v>
      </c>
    </row>
    <row r="58" ht="8" customHeight="1"/>
    <row r="78" ht="8" customHeight="1"/>
    <row r="79" ht="26" customHeight="1">
      <c r="A79" s="3" t="inlineStr">
        <is>
          <t>3. 盈利比率(毛利率 / 净利率)</t>
        </is>
      </c>
    </row>
    <row r="80" ht="36" customHeight="1">
      <c r="A80" s="4" t="inlineStr">
        <is>
          <t>比率 (%)</t>
        </is>
      </c>
      <c r="B80" s="4" t="inlineStr">
        <is>
          <t>2023</t>
        </is>
      </c>
      <c r="C80" s="4" t="inlineStr">
        <is>
          <t>2024</t>
        </is>
      </c>
    </row>
    <row r="81" ht="22" customHeight="1">
      <c r="A81" s="5" t="inlineStr">
        <is>
          <t>毛利率</t>
        </is>
      </c>
      <c r="B81" s="6" t="n">
        <v>48.13</v>
      </c>
      <c r="C81" s="6" t="n">
        <v>52.9</v>
      </c>
    </row>
    <row r="82" ht="22" customHeight="1">
      <c r="A82" s="5" t="inlineStr">
        <is>
          <t>净利率</t>
        </is>
      </c>
      <c r="B82" s="6" t="n">
        <v>19.38</v>
      </c>
      <c r="C82" s="6" t="n">
        <v>29.76</v>
      </c>
    </row>
    <row r="83" ht="8" customHeight="1"/>
    <row r="103" ht="8" customHeight="1"/>
    <row r="104" ht="26" customHeight="1">
      <c r="A104" s="3" t="inlineStr">
        <is>
          <t>4. 四费/毛利(销售 / 管理 / 研发 / 财务 占毛利,%)</t>
        </is>
      </c>
    </row>
    <row r="105" ht="36" customHeight="1">
      <c r="A105" s="4" t="inlineStr">
        <is>
          <t>占毛利 (%)</t>
        </is>
      </c>
      <c r="B105" s="4" t="inlineStr">
        <is>
          <t>2023</t>
        </is>
      </c>
      <c r="C105" s="4" t="inlineStr">
        <is>
          <t>2024</t>
        </is>
      </c>
    </row>
    <row r="106" ht="22" customHeight="1">
      <c r="A106" s="5" t="inlineStr">
        <is>
          <t>销售/毛利</t>
        </is>
      </c>
      <c r="B106" s="6" t="n">
        <v>11.67</v>
      </c>
      <c r="C106" s="6" t="n">
        <v>10.42</v>
      </c>
    </row>
    <row r="107" ht="22" customHeight="1">
      <c r="A107" s="5" t="inlineStr">
        <is>
          <t>管理/毛利</t>
        </is>
      </c>
      <c r="B107" s="6" t="n">
        <v>35.32</v>
      </c>
      <c r="C107" s="6" t="n">
        <v>32.29</v>
      </c>
    </row>
    <row r="108" ht="22" customHeight="1">
      <c r="A108" s="5" t="inlineStr">
        <is>
          <t>研发/毛利</t>
        </is>
      </c>
      <c r="B108" s="6" t="n">
        <v>21.86</v>
      </c>
      <c r="C108" s="6" t="n">
        <v>20.24</v>
      </c>
    </row>
    <row r="109" ht="22" customHeight="1">
      <c r="A109" s="5" t="inlineStr">
        <is>
          <t>财务/毛利</t>
        </is>
      </c>
      <c r="B109" s="6" t="n">
        <v>4.19</v>
      </c>
      <c r="C109" s="6" t="n">
        <v>3.43</v>
      </c>
    </row>
    <row r="110" ht="8" customHeight="1"/>
    <row r="130" ht="8" customHeight="1"/>
    <row r="131" ht="26" customHeight="1">
      <c r="A131" s="3" t="inlineStr">
        <is>
          <t>5. 四费占毛利堆叠(%)</t>
        </is>
      </c>
    </row>
    <row r="132" ht="36" customHeight="1">
      <c r="A132" s="4" t="inlineStr">
        <is>
          <t>占毛利 (%)</t>
        </is>
      </c>
      <c r="B132" s="4" t="inlineStr">
        <is>
          <t>2023</t>
        </is>
      </c>
      <c r="C132" s="4" t="inlineStr">
        <is>
          <t>2024</t>
        </is>
      </c>
    </row>
    <row r="133" ht="22" customHeight="1">
      <c r="A133" s="5" t="inlineStr">
        <is>
          <t>销售/毛利</t>
        </is>
      </c>
      <c r="B133" s="6" t="n">
        <v>11.67</v>
      </c>
      <c r="C133" s="6" t="n">
        <v>10.42</v>
      </c>
    </row>
    <row r="134" ht="22" customHeight="1">
      <c r="A134" s="5" t="inlineStr">
        <is>
          <t>管理/毛利</t>
        </is>
      </c>
      <c r="B134" s="6" t="n">
        <v>35.32</v>
      </c>
      <c r="C134" s="6" t="n">
        <v>32.29</v>
      </c>
    </row>
    <row r="135" ht="22" customHeight="1">
      <c r="A135" s="5" t="inlineStr">
        <is>
          <t>研发/毛利</t>
        </is>
      </c>
      <c r="B135" s="6" t="n">
        <v>21.86</v>
      </c>
      <c r="C135" s="6" t="n">
        <v>20.24</v>
      </c>
    </row>
    <row r="136" ht="22" customHeight="1">
      <c r="A136" s="5" t="inlineStr">
        <is>
          <t>财务/毛利</t>
        </is>
      </c>
      <c r="B136" s="6" t="n">
        <v>4.19</v>
      </c>
      <c r="C136" s="6" t="n">
        <v>3.43</v>
      </c>
    </row>
    <row r="137" ht="8" customHeight="1"/>
    <row r="157" ht="8" customHeight="1"/>
    <row r="158" ht="26" customHeight="1">
      <c r="A158" s="3" t="inlineStr">
        <is>
          <t>6. 数据质量(追溯重述记录)</t>
        </is>
      </c>
    </row>
    <row r="159" ht="22" customHeight="1">
      <c r="A159" s="7" t="inlineStr">
        <is>
          <t>未检测到重述</t>
        </is>
      </c>
    </row>
  </sheetData>
  <mergeCells count="10">
    <mergeCell ref="A1:C1"/>
    <mergeCell ref="A79:C79"/>
    <mergeCell ref="A159:C159"/>
    <mergeCell ref="A104:C104"/>
    <mergeCell ref="A131:C131"/>
    <mergeCell ref="A158:C158"/>
    <mergeCell ref="A3:C3"/>
    <mergeCell ref="A26:C26"/>
    <mergeCell ref="A2:C2"/>
    <mergeCell ref="A52:C5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28" customWidth="1" min="4" max="4"/>
  </cols>
  <sheetData>
    <row r="1" ht="30" customHeight="1">
      <c r="A1" s="1" t="inlineStr">
        <is>
          <t>腾讯控股 2023-2024 业务分析(B 类)</t>
        </is>
      </c>
    </row>
    <row r="2" ht="22" customHeight="1">
      <c r="A2" s="2" t="inlineStr">
        <is>
          <t>数据源:2024.json    |    金额单位:百万元    |    比率单位:%</t>
        </is>
      </c>
    </row>
    <row r="3" ht="8" customHeight="1"/>
    <row r="4" ht="26" customHeight="1">
      <c r="A4" s="3" t="inlineStr">
        <is>
          <t>1. 分业务线收入(百万元) + 毛利率(%)</t>
        </is>
      </c>
    </row>
    <row r="5" ht="36" customHeight="1">
      <c r="A5" s="4" t="inlineStr">
        <is>
          <t>业务线(百万元)</t>
        </is>
      </c>
      <c r="B5" s="4" t="inlineStr">
        <is>
          <t>2023</t>
        </is>
      </c>
      <c r="C5" s="4" t="inlineStr">
        <is>
          <t>2024</t>
        </is>
      </c>
    </row>
    <row r="6" ht="22" customHeight="1">
      <c r="A6" s="5" t="inlineStr">
        <is>
          <t>增值服務</t>
        </is>
      </c>
      <c r="B6" s="6" t="n">
        <v>298375</v>
      </c>
      <c r="C6" s="6" t="n">
        <v>319168</v>
      </c>
    </row>
    <row r="7" ht="22" customHeight="1">
      <c r="A7" s="5" t="inlineStr">
        <is>
          <t>營銷服務</t>
        </is>
      </c>
      <c r="B7" s="6" t="n">
        <v>101482</v>
      </c>
      <c r="C7" s="6" t="n">
        <v>121374</v>
      </c>
    </row>
    <row r="8" ht="22" customHeight="1">
      <c r="A8" s="5" t="inlineStr">
        <is>
          <t>金融科技及企業服務</t>
        </is>
      </c>
      <c r="B8" s="6" t="n">
        <v>203763</v>
      </c>
      <c r="C8" s="6" t="n">
        <v>211956</v>
      </c>
    </row>
    <row r="9" ht="22" customHeight="1">
      <c r="A9" s="5" t="inlineStr">
        <is>
          <t>其他</t>
        </is>
      </c>
      <c r="B9" s="6" t="n">
        <v>5395</v>
      </c>
      <c r="C9" s="6" t="n">
        <v>7759</v>
      </c>
    </row>
    <row r="10" ht="8" customHeight="1"/>
    <row r="11" ht="36" customHeight="1">
      <c r="A11" s="4" t="inlineStr">
        <is>
          <t>占比(%)</t>
        </is>
      </c>
      <c r="B11" s="4" t="inlineStr">
        <is>
          <t>2023</t>
        </is>
      </c>
      <c r="C11" s="4" t="inlineStr">
        <is>
          <t>2024</t>
        </is>
      </c>
    </row>
    <row r="12" ht="22" customHeight="1">
      <c r="A12" s="5" t="inlineStr">
        <is>
          <t>增值服務</t>
        </is>
      </c>
      <c r="B12" s="6" t="n">
        <v>49</v>
      </c>
      <c r="C12" s="6" t="n">
        <v>48.3</v>
      </c>
    </row>
    <row r="13" ht="22" customHeight="1">
      <c r="A13" s="5" t="inlineStr">
        <is>
          <t>營銷服務</t>
        </is>
      </c>
      <c r="B13" s="6" t="n">
        <v>16.7</v>
      </c>
      <c r="C13" s="6" t="n">
        <v>18.4</v>
      </c>
    </row>
    <row r="14" ht="22" customHeight="1">
      <c r="A14" s="5" t="inlineStr">
        <is>
          <t>金融科技及企業服務</t>
        </is>
      </c>
      <c r="B14" s="6" t="n">
        <v>33.5</v>
      </c>
      <c r="C14" s="6" t="n">
        <v>32.1</v>
      </c>
    </row>
    <row r="15" ht="22" customHeight="1">
      <c r="A15" s="5" t="inlineStr">
        <is>
          <t>其他</t>
        </is>
      </c>
      <c r="B15" s="6" t="n">
        <v>0.9</v>
      </c>
      <c r="C15" s="6" t="n">
        <v>1.2</v>
      </c>
    </row>
    <row r="16" ht="8" customHeight="1"/>
    <row r="35" ht="8" customHeight="1"/>
    <row r="36" ht="36" customHeight="1">
      <c r="A36" s="4" t="inlineStr">
        <is>
          <t>毛利率(%)</t>
        </is>
      </c>
      <c r="B36" s="4" t="inlineStr">
        <is>
          <t>2023</t>
        </is>
      </c>
      <c r="C36" s="4" t="inlineStr">
        <is>
          <t>2024</t>
        </is>
      </c>
    </row>
    <row r="37" ht="22" customHeight="1">
      <c r="A37" s="5" t="inlineStr">
        <is>
          <t>增值服務</t>
        </is>
      </c>
      <c r="B37" s="6" t="n">
        <v>54.27</v>
      </c>
      <c r="C37" s="6" t="n">
        <v>56.91</v>
      </c>
    </row>
    <row r="38" ht="22" customHeight="1">
      <c r="A38" s="5" t="inlineStr">
        <is>
          <t>營銷服務</t>
        </is>
      </c>
      <c r="B38" s="6" t="n">
        <v>50.59</v>
      </c>
      <c r="C38" s="6" t="n">
        <v>55.39</v>
      </c>
    </row>
    <row r="39" ht="22" customHeight="1">
      <c r="A39" s="5" t="inlineStr">
        <is>
          <t>金融科技及企業服務</t>
        </is>
      </c>
      <c r="B39" s="6" t="n">
        <v>39.57</v>
      </c>
      <c r="C39" s="6" t="n">
        <v>47.04</v>
      </c>
    </row>
    <row r="40" ht="22" customHeight="1">
      <c r="A40" s="5" t="inlineStr">
        <is>
          <t>其他</t>
        </is>
      </c>
      <c r="B40" s="6" t="n">
        <v>-14.64</v>
      </c>
      <c r="C40" s="6" t="n">
        <v>8.449999999999999</v>
      </c>
    </row>
    <row r="41" ht="8" customHeight="1"/>
    <row r="61" ht="8" customHeight="1"/>
    <row r="62" ht="26" customHeight="1">
      <c r="A62" s="3" t="inlineStr">
        <is>
          <t>2. 分地区收入(百万元)</t>
        </is>
      </c>
    </row>
    <row r="63" ht="36" customHeight="1">
      <c r="A63" s="4" t="inlineStr">
        <is>
          <t>地区(百万元)</t>
        </is>
      </c>
      <c r="B63" s="4" t="inlineStr">
        <is>
          <t>2023</t>
        </is>
      </c>
      <c r="C63" s="4" t="inlineStr">
        <is>
          <t>2024</t>
        </is>
      </c>
    </row>
    <row r="64" ht="22" customHeight="1">
      <c r="A64" s="5" t="inlineStr">
        <is>
          <t>中國內地</t>
        </is>
      </c>
      <c r="B64" s="6" t="n">
        <v>550779</v>
      </c>
      <c r="C64" s="6" t="n">
        <v>595458</v>
      </c>
    </row>
    <row r="65" ht="22" customHeight="1">
      <c r="A65" s="5" t="inlineStr">
        <is>
          <t>其他</t>
        </is>
      </c>
      <c r="B65" s="6" t="n">
        <v>58236</v>
      </c>
      <c r="C65" s="6" t="n">
        <v>64799</v>
      </c>
    </row>
    <row r="66" ht="8" customHeight="1"/>
    <row r="86" ht="8" customHeight="1"/>
    <row r="87" ht="26" customHeight="1">
      <c r="A87" s="3" t="inlineStr">
        <is>
          <t>3. 前五大客户/供应商集中度(%)</t>
        </is>
      </c>
    </row>
    <row r="88" ht="36" customHeight="1">
      <c r="A88" s="4" t="inlineStr">
        <is>
          <t>年份</t>
        </is>
      </c>
      <c r="B88" s="4" t="inlineStr">
        <is>
          <t>2023</t>
        </is>
      </c>
      <c r="C88" s="4" t="inlineStr">
        <is>
          <t>2024</t>
        </is>
      </c>
    </row>
    <row r="89" ht="22" customHeight="1">
      <c r="A89" s="5" t="inlineStr">
        <is>
          <t>前五大客户占比(%)</t>
        </is>
      </c>
      <c r="B89" s="6" t="n"/>
      <c r="C89" s="6" t="n"/>
    </row>
    <row r="90" ht="22" customHeight="1">
      <c r="A90" s="5" t="inlineStr">
        <is>
          <t>前五大供应商占比(%)</t>
        </is>
      </c>
      <c r="B90" s="6" t="n"/>
      <c r="C90" s="6" t="n"/>
    </row>
    <row r="91" ht="8" customHeight="1"/>
    <row r="110" ht="8" customHeight="1"/>
    <row r="111" ht="36" customHeight="1">
      <c r="A111" s="4" t="inlineStr">
        <is>
          <t>类别</t>
        </is>
      </c>
      <c r="B111" s="4" t="inlineStr">
        <is>
          <t>2024年客户</t>
        </is>
      </c>
      <c r="C111" s="4" t="inlineStr">
        <is>
          <t>2024年供应商</t>
        </is>
      </c>
    </row>
    <row r="112" ht="22" customHeight="1">
      <c r="A112" s="5" t="inlineStr">
        <is>
          <t>前五大</t>
        </is>
      </c>
      <c r="B112" s="6" t="n">
        <v>0</v>
      </c>
      <c r="C112" s="6" t="n">
        <v>0</v>
      </c>
    </row>
    <row r="113" ht="22" customHeight="1">
      <c r="A113" s="5" t="inlineStr">
        <is>
          <t>其他</t>
        </is>
      </c>
      <c r="B113" s="6" t="n">
        <v>100</v>
      </c>
      <c r="C113" s="6" t="n">
        <v>100</v>
      </c>
    </row>
    <row r="134" ht="8" customHeight="1"/>
    <row r="135" ht="26" customHeight="1">
      <c r="A135" s="3" t="inlineStr">
        <is>
          <t>4. 员工规模与结构</t>
        </is>
      </c>
    </row>
    <row r="136" ht="36" customHeight="1">
      <c r="A136" s="4" t="inlineStr">
        <is>
          <t>指标</t>
        </is>
      </c>
      <c r="B136" s="4" t="inlineStr">
        <is>
          <t>2023</t>
        </is>
      </c>
      <c r="C136" s="4" t="inlineStr">
        <is>
          <t>2024</t>
        </is>
      </c>
    </row>
    <row r="137" ht="22" customHeight="1">
      <c r="A137" s="5" t="inlineStr">
        <is>
          <t>员工总数(万人)</t>
        </is>
      </c>
      <c r="B137" s="6" t="n">
        <v>10.54</v>
      </c>
      <c r="C137" s="6" t="n">
        <v>11.06</v>
      </c>
    </row>
    <row r="138" ht="22" customHeight="1">
      <c r="A138" s="5" t="inlineStr">
        <is>
          <t>技术/研发人员(万人)</t>
        </is>
      </c>
      <c r="B138" s="6" t="n"/>
      <c r="C138" s="6" t="n"/>
    </row>
    <row r="139" ht="22" customHeight="1">
      <c r="A139" s="5" t="inlineStr">
        <is>
          <t>技术/研发占比(%)</t>
        </is>
      </c>
      <c r="B139" s="6" t="n"/>
      <c r="C139" s="6" t="n"/>
    </row>
    <row r="140" ht="22" customHeight="1">
      <c r="A140" s="5" t="inlineStr">
        <is>
          <t>当年净增(万人)</t>
        </is>
      </c>
      <c r="B140" s="6" t="n"/>
      <c r="C140" s="6" t="n">
        <v>0.51</v>
      </c>
    </row>
    <row r="141" ht="8" customHeight="1"/>
    <row r="160" ht="8" customHeight="1"/>
    <row r="161" ht="36" customHeight="1">
      <c r="A161" s="4" t="inlineStr">
        <is>
          <t>2024年专业构成</t>
        </is>
      </c>
      <c r="B161" s="4" t="inlineStr">
        <is>
          <t>人数(人)</t>
        </is>
      </c>
      <c r="C161" s="4" t="inlineStr">
        <is>
          <t>占比(%)</t>
        </is>
      </c>
    </row>
  </sheetData>
  <mergeCells count="6">
    <mergeCell ref="A1:C1"/>
    <mergeCell ref="A135:C135"/>
    <mergeCell ref="A62:C62"/>
    <mergeCell ref="A87:C87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28" customWidth="1" min="4" max="4"/>
  </cols>
  <sheetData>
    <row r="1" ht="30" customHeight="1">
      <c r="A1" s="1" t="inlineStr">
        <is>
          <t>腾讯控股 2023-2024 现金流(C 类)</t>
        </is>
      </c>
    </row>
    <row r="2" ht="22" customHeight="1">
      <c r="A2" s="2" t="inlineStr">
        <is>
          <t>数据源:2024.json    |    金额单位:百万元    |    比率/分红率:%    |    OCF/净利:倍数</t>
        </is>
      </c>
    </row>
    <row r="3" ht="8" customHeight="1"/>
    <row r="4" ht="26" customHeight="1">
      <c r="A4" s="3" t="inlineStr">
        <is>
          <t>1. 三类现金流(经营 / 投资 / 筹资,百万元)</t>
        </is>
      </c>
    </row>
    <row r="5" ht="36" customHeight="1">
      <c r="A5" s="4" t="inlineStr">
        <is>
          <t>现金流类别(百万元)</t>
        </is>
      </c>
      <c r="B5" s="4" t="inlineStr">
        <is>
          <t>2023</t>
        </is>
      </c>
      <c r="C5" s="4" t="inlineStr">
        <is>
          <t>2024</t>
        </is>
      </c>
    </row>
    <row r="6" ht="22" customHeight="1">
      <c r="A6" s="5" t="inlineStr">
        <is>
          <t>经营活动现金流净额</t>
        </is>
      </c>
      <c r="B6" s="6" t="n">
        <v>221962</v>
      </c>
      <c r="C6" s="6" t="n">
        <v>258521</v>
      </c>
    </row>
    <row r="7" ht="22" customHeight="1">
      <c r="A7" s="5" t="inlineStr">
        <is>
          <t>投资活动现金流净额</t>
        </is>
      </c>
      <c r="B7" s="6" t="n">
        <v>-125161</v>
      </c>
      <c r="C7" s="6" t="n">
        <v>-122187</v>
      </c>
    </row>
    <row r="8" ht="22" customHeight="1">
      <c r="A8" s="5" t="inlineStr">
        <is>
          <t>筹资活动现金流净额</t>
        </is>
      </c>
      <c r="B8" s="6" t="n">
        <v>-82573</v>
      </c>
      <c r="C8" s="6" t="n">
        <v>-176494</v>
      </c>
    </row>
    <row r="9" ht="8" customHeight="1"/>
    <row r="29" ht="8" customHeight="1"/>
    <row r="30" ht="26" customHeight="1">
      <c r="A30" s="3" t="inlineStr">
        <is>
          <t>2. 经营现金流 vs 净利润(盈利质量校验)</t>
        </is>
      </c>
    </row>
    <row r="31" ht="36" customHeight="1">
      <c r="A31" s="4" t="inlineStr">
        <is>
          <t>指标</t>
        </is>
      </c>
      <c r="B31" s="4" t="inlineStr">
        <is>
          <t>2023</t>
        </is>
      </c>
      <c r="C31" s="4" t="inlineStr">
        <is>
          <t>2024</t>
        </is>
      </c>
    </row>
    <row r="32" ht="22" customHeight="1">
      <c r="A32" s="5" t="inlineStr">
        <is>
          <t>经营活动现金流净额(百万元)</t>
        </is>
      </c>
      <c r="B32" s="6" t="n">
        <v>221962</v>
      </c>
      <c r="C32" s="6" t="n">
        <v>258521</v>
      </c>
    </row>
    <row r="33" ht="22" customHeight="1">
      <c r="A33" s="5" t="inlineStr">
        <is>
          <t>净利润(百万元)</t>
        </is>
      </c>
      <c r="B33" s="6" t="n">
        <v>118048</v>
      </c>
      <c r="C33" s="6" t="n">
        <v>196467</v>
      </c>
    </row>
    <row r="34" ht="22" customHeight="1">
      <c r="A34" s="5" t="inlineStr">
        <is>
          <t>OCF / 净利润 (倍数)</t>
        </is>
      </c>
      <c r="B34" s="6" t="n">
        <v>1.88</v>
      </c>
      <c r="C34" s="6" t="n">
        <v>1.32</v>
      </c>
    </row>
    <row r="35" ht="8" customHeight="1"/>
    <row r="55" ht="8" customHeight="1"/>
    <row r="56" ht="26" customHeight="1">
      <c r="A56" s="3" t="inlineStr">
        <is>
          <t>3. 资本开支 Capex(投入强度)</t>
        </is>
      </c>
    </row>
    <row r="57" ht="36" customHeight="1">
      <c r="A57" s="4" t="inlineStr">
        <is>
          <t>指标</t>
        </is>
      </c>
      <c r="B57" s="4" t="inlineStr">
        <is>
          <t>2023</t>
        </is>
      </c>
      <c r="C57" s="4" t="inlineStr">
        <is>
          <t>2024</t>
        </is>
      </c>
    </row>
    <row r="58" ht="22" customHeight="1">
      <c r="A58" s="5" t="inlineStr">
        <is>
          <t>Capex(百万元)</t>
        </is>
      </c>
      <c r="B58" s="6" t="n">
        <v>21008</v>
      </c>
      <c r="C58" s="6" t="n">
        <v>62927</v>
      </c>
    </row>
    <row r="59" ht="22" customHeight="1">
      <c r="A59" s="5" t="inlineStr">
        <is>
          <t>Capex / 营收 (%)</t>
        </is>
      </c>
      <c r="B59" s="6" t="n">
        <v>3.45</v>
      </c>
      <c r="C59" s="6" t="n">
        <v>9.529999999999999</v>
      </c>
    </row>
    <row r="60" ht="8" customHeight="1"/>
    <row r="80" ht="8" customHeight="1"/>
    <row r="81" ht="26" customHeight="1">
      <c r="A81" s="3" t="inlineStr">
        <is>
          <t>4. 自由现金流 FCF = OCF − Capex(真实可分配现金)</t>
        </is>
      </c>
    </row>
    <row r="82" ht="36" customHeight="1">
      <c r="A82" s="4" t="inlineStr">
        <is>
          <t>指标</t>
        </is>
      </c>
      <c r="B82" s="4" t="inlineStr">
        <is>
          <t>2023</t>
        </is>
      </c>
      <c r="C82" s="4" t="inlineStr">
        <is>
          <t>2024</t>
        </is>
      </c>
    </row>
    <row r="83" ht="22" customHeight="1">
      <c r="A83" s="5" t="inlineStr">
        <is>
          <t>FCF(百万元)</t>
        </is>
      </c>
      <c r="B83" s="6" t="n">
        <v>200954</v>
      </c>
      <c r="C83" s="6" t="n">
        <v>195594</v>
      </c>
    </row>
    <row r="84" ht="22" customHeight="1">
      <c r="A84" s="5" t="inlineStr">
        <is>
          <t>FCF / 营收 (%)</t>
        </is>
      </c>
      <c r="B84" s="6" t="n">
        <v>33</v>
      </c>
      <c r="C84" s="6" t="n">
        <v>29.62</v>
      </c>
    </row>
    <row r="85" ht="8" customHeight="1"/>
    <row r="105" ht="8" customHeight="1"/>
    <row r="106" ht="26" customHeight="1">
      <c r="A106" s="3" t="inlineStr">
        <is>
          <t>5. 股东回报(现金分红+利息支付 / 股份回购)</t>
        </is>
      </c>
    </row>
    <row r="107" ht="36" customHeight="1">
      <c r="A107" s="4" t="inlineStr">
        <is>
          <t>项目(百万元)</t>
        </is>
      </c>
      <c r="B107" s="4" t="inlineStr">
        <is>
          <t>2023</t>
        </is>
      </c>
      <c r="C107" s="4" t="inlineStr">
        <is>
          <t>2024</t>
        </is>
      </c>
    </row>
    <row r="108" ht="22" customHeight="1">
      <c r="A108" s="5" t="inlineStr">
        <is>
          <t>分配股利、利息支付现金</t>
        </is>
      </c>
      <c r="B108" s="6" t="n">
        <v>20983</v>
      </c>
      <c r="C108" s="6" t="n">
        <v>28859</v>
      </c>
    </row>
    <row r="109" ht="22" customHeight="1">
      <c r="A109" s="5" t="inlineStr">
        <is>
          <t>股份回购支付现金</t>
        </is>
      </c>
      <c r="B109" s="6" t="n">
        <v>43767</v>
      </c>
      <c r="C109" s="6" t="n">
        <v>102331</v>
      </c>
    </row>
    <row r="110" ht="22" customHeight="1">
      <c r="A110" s="5" t="inlineStr">
        <is>
          <t>分红率 = 分红+利息 / 净利 (%)</t>
        </is>
      </c>
      <c r="B110" s="6" t="n">
        <v>17.77</v>
      </c>
      <c r="C110" s="6" t="n">
        <v>14.69</v>
      </c>
    </row>
    <row r="111" ht="8" customHeight="1"/>
    <row r="131" ht="8" customHeight="1"/>
    <row r="132" ht="26" customHeight="1">
      <c r="A132" s="3" t="inlineStr">
        <is>
          <t>6. 现金储备(期末余额 + 当年净增减)</t>
        </is>
      </c>
    </row>
    <row r="133" ht="36" customHeight="1">
      <c r="A133" s="4" t="inlineStr">
        <is>
          <t>指标(百万元)</t>
        </is>
      </c>
      <c r="B133" s="4" t="inlineStr">
        <is>
          <t>2023</t>
        </is>
      </c>
      <c r="C133" s="4" t="inlineStr">
        <is>
          <t>2024</t>
        </is>
      </c>
    </row>
    <row r="134" ht="22" customHeight="1">
      <c r="A134" s="5" t="inlineStr">
        <is>
          <t>期末现金及等价物余额</t>
        </is>
      </c>
      <c r="B134" s="6" t="n">
        <v>172320</v>
      </c>
      <c r="C134" s="6" t="n">
        <v>132519</v>
      </c>
    </row>
    <row r="135" ht="22" customHeight="1">
      <c r="A135" s="5" t="inlineStr">
        <is>
          <t>当年现金净增加额</t>
        </is>
      </c>
      <c r="B135" s="6" t="n">
        <v>14228</v>
      </c>
      <c r="C135" s="6" t="n">
        <v>-40160</v>
      </c>
    </row>
    <row r="136" ht="8" customHeight="1"/>
  </sheetData>
  <mergeCells count="8">
    <mergeCell ref="A1:C1"/>
    <mergeCell ref="A132:C132"/>
    <mergeCell ref="A56:C56"/>
    <mergeCell ref="A106:C106"/>
    <mergeCell ref="A30:C30"/>
    <mergeCell ref="A4:C4"/>
    <mergeCell ref="A81:C81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28" customWidth="1" min="4" max="4"/>
    <col width="22" customWidth="1" min="10" max="10"/>
    <col width="14" customWidth="1" min="11" max="11"/>
    <col width="14" customWidth="1" min="12" max="12"/>
  </cols>
  <sheetData>
    <row r="1" ht="30" customHeight="1">
      <c r="A1" s="1" t="inlineStr">
        <is>
          <t>腾讯控股 2023-2024年末 资产负债表(D 类)</t>
        </is>
      </c>
      <c r="J1" s="8" t="inlineStr">
        <is>
          <t>原始数据(全精度,单位:million)</t>
        </is>
      </c>
    </row>
    <row r="2" ht="36" customHeight="1">
      <c r="A2" s="2" t="inlineStr">
        <is>
          <t>数据源:2024.json    |    金额单位:百万元    |    比率:%    |    周转:天</t>
        </is>
      </c>
      <c r="J2" s="4" t="inlineStr">
        <is>
          <t>科目</t>
        </is>
      </c>
      <c r="K2" s="4" t="inlineStr">
        <is>
          <t>2023年末</t>
        </is>
      </c>
      <c r="L2" s="4" t="inlineStr">
        <is>
          <t>2024年末</t>
        </is>
      </c>
    </row>
    <row r="3" ht="22" customHeight="1">
      <c r="J3" s="5" t="inlineStr">
        <is>
          <t>货币资金</t>
        </is>
      </c>
      <c r="K3" s="6" t="n">
        <v>172320</v>
      </c>
      <c r="L3" s="6" t="n">
        <v>132519</v>
      </c>
    </row>
    <row r="4" ht="22" customHeight="1">
      <c r="A4" s="3" t="inlineStr">
        <is>
          <t>1. 资产 / 负债 / 所有者权益(百万元)</t>
        </is>
      </c>
      <c r="J4" s="5" t="inlineStr">
        <is>
          <t>应收账款</t>
        </is>
      </c>
      <c r="K4" s="6" t="n">
        <v>46606</v>
      </c>
      <c r="L4" s="6" t="n">
        <v>48203</v>
      </c>
    </row>
    <row r="5" ht="22" customHeight="1">
      <c r="A5" s="4" t="inlineStr">
        <is>
          <t>科目(百万元)</t>
        </is>
      </c>
      <c r="B5" s="4" t="inlineStr">
        <is>
          <t>2023末</t>
        </is>
      </c>
      <c r="C5" s="4" t="inlineStr">
        <is>
          <t>2024末</t>
        </is>
      </c>
      <c r="J5" s="5" t="inlineStr">
        <is>
          <t>存货</t>
        </is>
      </c>
      <c r="K5" s="6" t="n">
        <v>456</v>
      </c>
      <c r="L5" s="6" t="n">
        <v>440</v>
      </c>
    </row>
    <row r="6" ht="22" customHeight="1">
      <c r="A6" s="5" t="inlineStr">
        <is>
          <t>总资产</t>
        </is>
      </c>
      <c r="B6" s="6" t="n">
        <v>1577246</v>
      </c>
      <c r="C6" s="6" t="n">
        <v>1780995</v>
      </c>
      <c r="J6" s="5" t="inlineStr">
        <is>
          <t>流动资产合计</t>
        </is>
      </c>
      <c r="K6" s="6" t="n">
        <v>518446</v>
      </c>
      <c r="L6" s="6" t="n">
        <v>496180</v>
      </c>
    </row>
    <row r="7" ht="22" customHeight="1">
      <c r="A7" s="5" t="inlineStr">
        <is>
          <t>总负债</t>
        </is>
      </c>
      <c r="B7" s="6" t="n">
        <v>703565</v>
      </c>
      <c r="C7" s="6" t="n">
        <v>727099</v>
      </c>
      <c r="J7" s="5" t="inlineStr">
        <is>
          <t>固定资产</t>
        </is>
      </c>
      <c r="K7" s="6" t="n">
        <v>53232</v>
      </c>
      <c r="L7" s="6" t="n">
        <v>80185</v>
      </c>
    </row>
    <row r="8" ht="22" customHeight="1">
      <c r="A8" s="5" t="inlineStr">
        <is>
          <t>所有者权益(合计)</t>
        </is>
      </c>
      <c r="B8" s="6" t="n">
        <v>873681</v>
      </c>
      <c r="C8" s="6" t="n">
        <v>1053896</v>
      </c>
      <c r="J8" s="5" t="inlineStr">
        <is>
          <t>商誉</t>
        </is>
      </c>
      <c r="K8" s="6" t="n">
        <v>126220</v>
      </c>
      <c r="L8" s="6" t="n">
        <v>142126</v>
      </c>
    </row>
    <row r="9" ht="22" customHeight="1">
      <c r="A9" s="5" t="inlineStr">
        <is>
          <t>资产负债率(%)</t>
        </is>
      </c>
      <c r="B9" s="6" t="n">
        <v>44.61</v>
      </c>
      <c r="C9" s="6" t="n">
        <v>40.83</v>
      </c>
      <c r="J9" s="5" t="inlineStr">
        <is>
          <t>资产总计</t>
        </is>
      </c>
      <c r="K9" s="6" t="n">
        <v>1577246</v>
      </c>
      <c r="L9" s="6" t="n">
        <v>1780995</v>
      </c>
    </row>
    <row r="10" ht="22" customHeight="1">
      <c r="J10" s="5" t="inlineStr">
        <is>
          <t>短期借款</t>
        </is>
      </c>
      <c r="K10" s="6" t="n">
        <v>41537</v>
      </c>
      <c r="L10" s="6" t="n">
        <v>52885</v>
      </c>
    </row>
    <row r="11" ht="22" customHeight="1">
      <c r="J11" s="5" t="inlineStr">
        <is>
          <t>长期借款</t>
        </is>
      </c>
      <c r="K11" s="6" t="n">
        <v>155819</v>
      </c>
      <c r="L11" s="6" t="n">
        <v>146521</v>
      </c>
    </row>
    <row r="12" ht="22" customHeight="1">
      <c r="J12" s="5" t="inlineStr">
        <is>
          <t>应付债券</t>
        </is>
      </c>
      <c r="K12" s="6" t="n">
        <v>151262</v>
      </c>
      <c r="L12" s="6" t="n">
        <v>139209</v>
      </c>
    </row>
    <row r="13" ht="22" customHeight="1">
      <c r="J13" s="5" t="inlineStr">
        <is>
          <t>租赁负债</t>
        </is>
      </c>
      <c r="K13" s="6" t="n">
        <v>22622</v>
      </c>
      <c r="L13" s="6" t="n">
        <v>19497</v>
      </c>
    </row>
    <row r="14" ht="22" customHeight="1">
      <c r="J14" s="5" t="inlineStr">
        <is>
          <t>负债合计</t>
        </is>
      </c>
      <c r="K14" s="6" t="n">
        <v>703565</v>
      </c>
      <c r="L14" s="6" t="n">
        <v>727099</v>
      </c>
    </row>
    <row r="15" ht="22" customHeight="1">
      <c r="J15" s="5" t="inlineStr">
        <is>
          <t>归属于母公司股东权益</t>
        </is>
      </c>
      <c r="K15" s="6" t="n">
        <v>808591</v>
      </c>
      <c r="L15" s="6" t="n">
        <v>973548</v>
      </c>
    </row>
    <row r="16" ht="22" customHeight="1">
      <c r="J16" s="5" t="inlineStr">
        <is>
          <t>股东权益合计</t>
        </is>
      </c>
      <c r="K16" s="6" t="n">
        <v>873681</v>
      </c>
      <c r="L16" s="6" t="n">
        <v>1053896</v>
      </c>
    </row>
    <row r="18">
      <c r="J18" s="7" t="inlineStr">
        <is>
          <t>财务费用附注(期间数)</t>
        </is>
      </c>
    </row>
    <row r="19" ht="36" customHeight="1">
      <c r="J19" s="4" t="inlineStr">
        <is>
          <t>科目</t>
        </is>
      </c>
      <c r="K19" s="4" t="inlineStr">
        <is>
          <t>2023年</t>
        </is>
      </c>
      <c r="L19" s="4" t="inlineStr">
        <is>
          <t>2024年</t>
        </is>
      </c>
    </row>
    <row r="20" ht="22" customHeight="1">
      <c r="J20" s="5" t="inlineStr">
        <is>
          <t>利息支出</t>
        </is>
      </c>
      <c r="K20" s="6" t="n">
        <v>12268</v>
      </c>
      <c r="L20" s="6" t="n">
        <v>11981</v>
      </c>
    </row>
    <row r="30" ht="8" customHeight="1"/>
    <row r="31" ht="26" customHeight="1">
      <c r="A31" s="3" t="inlineStr">
        <is>
          <t>2. 杠杆趋势(资产负债率 / 有息负债率,%)</t>
        </is>
      </c>
    </row>
    <row r="32" ht="36" customHeight="1">
      <c r="A32" s="4" t="inlineStr">
        <is>
          <t>比率(%)</t>
        </is>
      </c>
      <c r="B32" s="4" t="inlineStr">
        <is>
          <t>2023末</t>
        </is>
      </c>
      <c r="C32" s="4" t="inlineStr">
        <is>
          <t>2024末</t>
        </is>
      </c>
    </row>
    <row r="33" ht="22" customHeight="1">
      <c r="A33" s="5" t="inlineStr">
        <is>
          <t>资产负债率</t>
        </is>
      </c>
      <c r="B33" s="6" t="n">
        <v>44.61</v>
      </c>
      <c r="C33" s="6" t="n">
        <v>40.83</v>
      </c>
    </row>
    <row r="34" ht="22" customHeight="1">
      <c r="A34" s="5" t="inlineStr">
        <is>
          <t>有息负债率(有息负债/总资产)</t>
        </is>
      </c>
      <c r="B34" s="6" t="n">
        <v>23.54</v>
      </c>
      <c r="C34" s="6" t="n">
        <v>20.11</v>
      </c>
    </row>
    <row r="35" ht="8" customHeight="1"/>
    <row r="55" ht="8" customHeight="1"/>
    <row r="56" ht="26" customHeight="1">
      <c r="A56" s="3" t="inlineStr">
        <is>
          <t>3. 有息负债结构 + 净负债(百万元)</t>
        </is>
      </c>
    </row>
    <row r="57" ht="36" customHeight="1">
      <c r="A57" s="4" t="inlineStr">
        <is>
          <t>项目(百万元)</t>
        </is>
      </c>
      <c r="B57" s="4" t="inlineStr">
        <is>
          <t>2023末</t>
        </is>
      </c>
      <c r="C57" s="4" t="inlineStr">
        <is>
          <t>2024末</t>
        </is>
      </c>
    </row>
    <row r="58" ht="22" customHeight="1">
      <c r="A58" s="5" t="inlineStr">
        <is>
          <t>短期借款</t>
        </is>
      </c>
      <c r="B58" s="6" t="n">
        <v>41537</v>
      </c>
      <c r="C58" s="6" t="n">
        <v>52885</v>
      </c>
    </row>
    <row r="59" ht="22" customHeight="1">
      <c r="A59" s="5" t="inlineStr">
        <is>
          <t>一年内到期非流动负债</t>
        </is>
      </c>
      <c r="B59" s="6" t="n"/>
      <c r="C59" s="6" t="n"/>
    </row>
    <row r="60" ht="22" customHeight="1">
      <c r="A60" s="5" t="inlineStr">
        <is>
          <t>长期借款</t>
        </is>
      </c>
      <c r="B60" s="6" t="n">
        <v>155819</v>
      </c>
      <c r="C60" s="6" t="n">
        <v>146521</v>
      </c>
    </row>
    <row r="61" ht="22" customHeight="1">
      <c r="A61" s="5" t="inlineStr">
        <is>
          <t>应付债券</t>
        </is>
      </c>
      <c r="B61" s="6" t="n">
        <v>151262</v>
      </c>
      <c r="C61" s="6" t="n">
        <v>139209</v>
      </c>
    </row>
    <row r="62" ht="22" customHeight="1">
      <c r="A62" s="5" t="inlineStr">
        <is>
          <t>租赁负债</t>
        </is>
      </c>
      <c r="B62" s="6" t="n">
        <v>22622</v>
      </c>
      <c r="C62" s="6" t="n">
        <v>19497</v>
      </c>
    </row>
    <row r="63" ht="22" customHeight="1">
      <c r="A63" s="5" t="inlineStr">
        <is>
          <t>货币资金</t>
        </is>
      </c>
      <c r="B63" s="6" t="n">
        <v>172320</v>
      </c>
      <c r="C63" s="6" t="n">
        <v>132519</v>
      </c>
    </row>
    <row r="64" ht="22" customHeight="1">
      <c r="A64" s="5" t="inlineStr">
        <is>
          <t>有息负债合计</t>
        </is>
      </c>
      <c r="B64" s="6" t="n">
        <v>371240</v>
      </c>
      <c r="C64" s="6" t="n">
        <v>358112</v>
      </c>
    </row>
    <row r="65" ht="22" customHeight="1">
      <c r="A65" s="5" t="inlineStr">
        <is>
          <t>净有息负债(有息-货币)</t>
        </is>
      </c>
      <c r="B65" s="6" t="n">
        <v>198920</v>
      </c>
      <c r="C65" s="6" t="n">
        <v>225593</v>
      </c>
    </row>
    <row r="66" ht="8" customHeight="1"/>
    <row r="86" ht="8" customHeight="1"/>
    <row r="87" ht="26" customHeight="1">
      <c r="A87" s="3" t="inlineStr">
        <is>
          <t>4. 营运资本周转(周转天数 + 现金转换周期 CCC)</t>
        </is>
      </c>
    </row>
    <row r="88" ht="36" customHeight="1">
      <c r="A88" s="4" t="inlineStr">
        <is>
          <t>周转天数(天)</t>
        </is>
      </c>
      <c r="B88" s="4" t="inlineStr">
        <is>
          <t>2023</t>
        </is>
      </c>
      <c r="C88" s="4" t="inlineStr">
        <is>
          <t>2024</t>
        </is>
      </c>
    </row>
    <row r="89" ht="22" customHeight="1">
      <c r="A89" s="5" t="inlineStr">
        <is>
          <t>应收账款周转天数</t>
        </is>
      </c>
      <c r="B89" s="6" t="n">
        <v>27.9</v>
      </c>
      <c r="C89" s="6" t="n">
        <v>26.2</v>
      </c>
    </row>
    <row r="90" ht="22" customHeight="1">
      <c r="A90" s="5" t="inlineStr">
        <is>
          <t>存货周转天数</t>
        </is>
      </c>
      <c r="B90" s="6" t="n">
        <v>0.5</v>
      </c>
      <c r="C90" s="6" t="n">
        <v>0.5</v>
      </c>
    </row>
    <row r="91" ht="22" customHeight="1">
      <c r="A91" s="5" t="inlineStr">
        <is>
          <t>应付账款周转天数</t>
        </is>
      </c>
      <c r="B91" s="6" t="n"/>
      <c r="C91" s="6" t="n"/>
    </row>
    <row r="92" ht="22" customHeight="1">
      <c r="A92" s="5" t="inlineStr">
        <is>
          <t>现金转换周期 CCC</t>
        </is>
      </c>
      <c r="B92" s="6" t="n"/>
      <c r="C92" s="6" t="n"/>
    </row>
    <row r="93" ht="8" customHeight="1"/>
    <row r="113" ht="8" customHeight="1"/>
    <row r="114" ht="26" customHeight="1">
      <c r="A114" s="3" t="inlineStr">
        <is>
          <t>5. 资产结构(2024年末)+ 商誉占净资产(减值风险)</t>
        </is>
      </c>
    </row>
    <row r="115" ht="36" customHeight="1">
      <c r="A115" s="4" t="inlineStr">
        <is>
          <t>2024年末科目</t>
        </is>
      </c>
      <c r="B115" s="4" t="inlineStr">
        <is>
          <t>金额(百万元)</t>
        </is>
      </c>
      <c r="C115" s="4" t="inlineStr">
        <is>
          <t>占总资产(%)</t>
        </is>
      </c>
    </row>
    <row r="116" ht="22" customHeight="1">
      <c r="A116" s="5" t="inlineStr">
        <is>
          <t>货币资金</t>
        </is>
      </c>
      <c r="B116" s="6" t="n">
        <v>132519</v>
      </c>
      <c r="C116" s="6" t="n">
        <v>7.4</v>
      </c>
    </row>
    <row r="117" ht="22" customHeight="1">
      <c r="A117" s="5" t="inlineStr">
        <is>
          <t>应收账款</t>
        </is>
      </c>
      <c r="B117" s="6" t="n">
        <v>48203</v>
      </c>
      <c r="C117" s="6" t="n">
        <v>2.7</v>
      </c>
    </row>
    <row r="118" ht="22" customHeight="1">
      <c r="A118" s="5" t="inlineStr">
        <is>
          <t>存货</t>
        </is>
      </c>
      <c r="B118" s="6" t="n">
        <v>440</v>
      </c>
      <c r="C118" s="6" t="n">
        <v>0</v>
      </c>
    </row>
    <row r="119" ht="22" customHeight="1">
      <c r="A119" s="5" t="inlineStr">
        <is>
          <t>固定资产</t>
        </is>
      </c>
      <c r="B119" s="6" t="n">
        <v>80185</v>
      </c>
      <c r="C119" s="6" t="n">
        <v>4.5</v>
      </c>
    </row>
    <row r="120" ht="22" customHeight="1">
      <c r="A120" s="5" t="inlineStr">
        <is>
          <t>在建工程</t>
        </is>
      </c>
      <c r="B120" s="6" t="n"/>
      <c r="C120" s="6" t="n"/>
    </row>
    <row r="121" ht="22" customHeight="1">
      <c r="A121" s="5" t="inlineStr">
        <is>
          <t>商誉</t>
        </is>
      </c>
      <c r="B121" s="6" t="n">
        <v>142126</v>
      </c>
      <c r="C121" s="6" t="n">
        <v>8</v>
      </c>
    </row>
    <row r="122" ht="22" customHeight="1">
      <c r="A122" s="5" t="inlineStr">
        <is>
          <t>其他资产</t>
        </is>
      </c>
      <c r="B122" s="6" t="n">
        <v>1377522</v>
      </c>
      <c r="C122" s="6" t="n">
        <v>77.3</v>
      </c>
    </row>
    <row r="123" ht="8" customHeight="1"/>
    <row r="142" ht="8" customHeight="1"/>
    <row r="143" ht="36" customHeight="1">
      <c r="A143" s="4" t="inlineStr">
        <is>
          <t>减值风险代理</t>
        </is>
      </c>
      <c r="B143" s="4" t="inlineStr">
        <is>
          <t>2023末</t>
        </is>
      </c>
      <c r="C143" s="4" t="inlineStr">
        <is>
          <t>2024末</t>
        </is>
      </c>
    </row>
    <row r="144" ht="22" customHeight="1">
      <c r="A144" s="5" t="inlineStr">
        <is>
          <t>商誉/归母净资产(%)</t>
        </is>
      </c>
      <c r="B144" s="6" t="n">
        <v>15.61</v>
      </c>
      <c r="C144" s="6" t="n">
        <v>14.6</v>
      </c>
    </row>
  </sheetData>
  <mergeCells count="7">
    <mergeCell ref="A1:C1"/>
    <mergeCell ref="A31:C31"/>
    <mergeCell ref="A56:C56"/>
    <mergeCell ref="A114:C114"/>
    <mergeCell ref="A87:C87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28" customWidth="1" min="4" max="4"/>
  </cols>
  <sheetData>
    <row r="1" ht="30" customHeight="1">
      <c r="A1" s="1" t="inlineStr">
        <is>
          <t>腾讯控股 2023-2024年 回报指标(E 类:ROE / ROA / ROIC / 杜邦)</t>
        </is>
      </c>
    </row>
    <row r="2" ht="22" customHeight="1">
      <c r="A2" s="2" t="inlineStr">
        <is>
          <t>数据源:2024.json    |    比率:%    |    周转:次    |    乘数:倍    |    ROE 为归母口径</t>
        </is>
      </c>
    </row>
    <row r="3" ht="8" customHeight="1"/>
    <row r="4" ht="26" customHeight="1">
      <c r="A4" s="3" t="inlineStr">
        <is>
          <t>1. 回报指标趋势(ROE / ROA / ROIC,%)</t>
        </is>
      </c>
    </row>
    <row r="5" ht="36" customHeight="1">
      <c r="A5" s="4" t="inlineStr">
        <is>
          <t>指标(%)</t>
        </is>
      </c>
      <c r="B5" s="4" t="inlineStr">
        <is>
          <t>2023</t>
        </is>
      </c>
      <c r="C5" s="4" t="inlineStr">
        <is>
          <t>2024</t>
        </is>
      </c>
    </row>
    <row r="6" ht="22" customHeight="1">
      <c r="A6" s="5" t="inlineStr">
        <is>
          <t>ROE 净资产收益率(归母)</t>
        </is>
      </c>
      <c r="B6" s="6" t="n">
        <v>14.25</v>
      </c>
      <c r="C6" s="6" t="n">
        <v>21.78</v>
      </c>
    </row>
    <row r="7" ht="22" customHeight="1">
      <c r="A7" s="5" t="inlineStr">
        <is>
          <t>ROA 总资产收益率</t>
        </is>
      </c>
      <c r="B7" s="6" t="n">
        <v>7.48</v>
      </c>
      <c r="C7" s="6" t="n">
        <v>11.7</v>
      </c>
    </row>
    <row r="8" ht="22" customHeight="1">
      <c r="A8" s="5" t="inlineStr">
        <is>
          <t>ROIC 投入资本回报率</t>
        </is>
      </c>
      <c r="B8" s="6" t="n">
        <v>10.2</v>
      </c>
      <c r="C8" s="6" t="n">
        <v>15.52</v>
      </c>
    </row>
    <row r="9" ht="8" customHeight="1"/>
    <row r="29" ht="8" customHeight="1"/>
    <row r="30" ht="26" customHeight="1">
      <c r="A30" s="3" t="inlineStr">
        <is>
          <t>2. 杜邦三因子(归母净利率% / 总资产周转 / 权益乘数)</t>
        </is>
      </c>
    </row>
    <row r="31" ht="36" customHeight="1">
      <c r="A31" s="4" t="inlineStr">
        <is>
          <t>杜邦因子</t>
        </is>
      </c>
      <c r="B31" s="4" t="inlineStr">
        <is>
          <t>2023</t>
        </is>
      </c>
      <c r="C31" s="4" t="inlineStr">
        <is>
          <t>2024</t>
        </is>
      </c>
    </row>
    <row r="32" ht="22" customHeight="1">
      <c r="A32" s="5" t="inlineStr">
        <is>
          <t>归母净利率(%)</t>
        </is>
      </c>
      <c r="B32" s="6" t="n">
        <v>18.92</v>
      </c>
      <c r="C32" s="6" t="n">
        <v>29.39</v>
      </c>
    </row>
    <row r="33" ht="22" customHeight="1">
      <c r="A33" s="5" t="inlineStr">
        <is>
          <t>总资产周转率(次)</t>
        </is>
      </c>
      <c r="B33" s="6" t="n">
        <v>0.39</v>
      </c>
      <c r="C33" s="6" t="n">
        <v>0.39</v>
      </c>
    </row>
    <row r="34" ht="22" customHeight="1">
      <c r="A34" s="5" t="inlineStr">
        <is>
          <t>权益乘数(倍)</t>
        </is>
      </c>
      <c r="B34" s="6" t="n">
        <v>1.95</v>
      </c>
      <c r="C34" s="6" t="n">
        <v>1.88</v>
      </c>
    </row>
    <row r="35" ht="8" customHeight="1"/>
    <row r="55" ht="8" customHeight="1"/>
    <row r="56" ht="26" customHeight="1">
      <c r="A56" s="3" t="inlineStr">
        <is>
          <t>3. ROE 杜邦归因(归母净利率 × 总资产周转 × 权益乘数 = ROE)</t>
        </is>
      </c>
    </row>
    <row r="57" ht="36" customHeight="1">
      <c r="A57" s="4" t="inlineStr">
        <is>
          <t>年度</t>
        </is>
      </c>
      <c r="B57" s="4" t="inlineStr">
        <is>
          <t>归母净利率</t>
        </is>
      </c>
      <c r="C57" s="4" t="inlineStr">
        <is>
          <t>总资产周转</t>
        </is>
      </c>
      <c r="D57" s="4" t="inlineStr">
        <is>
          <t>权益乘数</t>
        </is>
      </c>
      <c r="E57" s="4" t="inlineStr">
        <is>
          <t>ROE</t>
        </is>
      </c>
    </row>
    <row r="58" ht="22" customHeight="1">
      <c r="A58" s="5" t="inlineStr">
        <is>
          <t>2023</t>
        </is>
      </c>
      <c r="B58" s="6" t="inlineStr">
        <is>
          <t>18.92%</t>
        </is>
      </c>
      <c r="C58" s="6" t="inlineStr">
        <is>
          <t>0.39</t>
        </is>
      </c>
      <c r="D58" s="6" t="inlineStr">
        <is>
          <t>1.95</t>
        </is>
      </c>
      <c r="E58" s="6" t="inlineStr">
        <is>
          <t>14.25%</t>
        </is>
      </c>
    </row>
    <row r="59" ht="22" customHeight="1">
      <c r="A59" s="5" t="inlineStr">
        <is>
          <t>2024</t>
        </is>
      </c>
      <c r="B59" s="6" t="inlineStr">
        <is>
          <t>29.39%</t>
        </is>
      </c>
      <c r="C59" s="6" t="inlineStr">
        <is>
          <t>0.39</t>
        </is>
      </c>
      <c r="D59" s="6" t="inlineStr">
        <is>
          <t>1.88</t>
        </is>
      </c>
      <c r="E59" s="6" t="inlineStr">
        <is>
          <t>21.78%</t>
        </is>
      </c>
    </row>
  </sheetData>
  <mergeCells count="5">
    <mergeCell ref="A1:C1"/>
    <mergeCell ref="A56:C56"/>
    <mergeCell ref="A30:C30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2026-06-15T18:06:06Z</dcterms:created>
  <dcterms:modified xmlns:dcterms="http://purl.org/dc/terms/" xmlns:xsi="http://www.w3.org/2001/XMLSchema-instance" xsi:type="dcterms:W3CDTF">2026-06-15T18:06:09Z</dcterms:modified>
</cp:coreProperties>
</file>