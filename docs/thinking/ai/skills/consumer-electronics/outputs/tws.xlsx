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市场规模" sheetId="1" state="visible" r:id="rId3"/>
    <sheet name="2_地区份额" sheetId="2" state="visible" r:id="rId4"/>
    <sheet name="3_品牌份额" sheetId="3" state="visible" r:id="rId5"/>
    <sheet name="4_数据勾稽与来源" sheetId="4" state="visible" r:id="rId6"/>
    <sheet name="5_BOM估算" sheetId="5" state="visible" r:id="rId7"/>
    <sheet name="6_竞品对比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<sst xmlns="http://schemas.openxmlformats.org/spreadsheetml/2006/main" count="338" uniqueCount="292">
  <si>
    <t xml:space="preserve">全球 TWS 耳机市场规模（2024，按口径分行）</t>
  </si>
  <si>
    <t xml:space="preserve">口径钉死：品类=TWS真无线立体声耳机；指标见各行；地域=全球；年份=2024。出货量(台)≠销售额($)，不可混用。</t>
  </si>
  <si>
    <t xml:space="preserve">指标</t>
  </si>
  <si>
    <t xml:space="preserve">数值 / 区间</t>
  </si>
  <si>
    <t xml:space="preserve">同比/CAGR</t>
  </si>
  <si>
    <t xml:space="preserve">主要来源</t>
  </si>
  <si>
    <t xml:space="preserve">置信度</t>
  </si>
  <si>
    <t xml:space="preserve">备注</t>
  </si>
  <si>
    <t xml:space="preserve">出货量（台/对）</t>
  </si>
  <si>
    <r>
      <rPr>
        <sz val="10"/>
        <rFont val="Arial"/>
        <family val="0"/>
        <charset val="1"/>
      </rPr>
      <t xml:space="preserve">3.30 </t>
    </r>
    <r>
      <rPr>
        <sz val="10"/>
        <rFont val="Noto Sans CJK SC"/>
        <family val="2"/>
      </rPr>
      <t xml:space="preserve">亿台 </t>
    </r>
    <r>
      <rPr>
        <sz val="10"/>
        <rFont val="Arial"/>
        <family val="0"/>
        <charset val="1"/>
      </rPr>
      <t xml:space="preserve">(331.6M)</t>
    </r>
  </si>
  <si>
    <t xml:space="preserve">+13% YoY</t>
  </si>
  <si>
    <r>
      <rPr>
        <sz val="10"/>
        <rFont val="Arial"/>
        <family val="0"/>
        <charset val="1"/>
      </rPr>
      <t xml:space="preserve">Canalys</t>
    </r>
    <r>
      <rPr>
        <sz val="10"/>
        <rFont val="Noto Sans CJK SC"/>
        <family val="2"/>
      </rPr>
      <t xml:space="preserve">（多源印证）</t>
    </r>
  </si>
  <si>
    <t xml:space="preserve">高</t>
  </si>
  <si>
    <t xml:space="preserve">全球个人智能音频4.55亿台中TWS占72.8%</t>
  </si>
  <si>
    <t xml:space="preserve">销售额（美元，研究机构区间）</t>
  </si>
  <si>
    <t xml:space="preserve">约 $15B – $57B</t>
  </si>
  <si>
    <t xml:space="preserve">口径分歧大</t>
  </si>
  <si>
    <r>
      <rPr>
        <sz val="10"/>
        <rFont val="Arial"/>
        <family val="0"/>
        <charset val="1"/>
      </rPr>
      <t xml:space="preserve">FMReport/BRI/Cognitive/Verified</t>
    </r>
    <r>
      <rPr>
        <sz val="10"/>
        <rFont val="Noto Sans CJK SC"/>
        <family val="2"/>
      </rPr>
      <t xml:space="preserve">等</t>
    </r>
  </si>
  <si>
    <t xml:space="preserve">低</t>
  </si>
  <si>
    <t xml:space="preserve">各机构差数倍，不可单点采信</t>
  </si>
  <si>
    <t xml:space="preserve">销售额（量×均价交叉推算）</t>
  </si>
  <si>
    <t xml:space="preserve">约 $17B – $40B</t>
  </si>
  <si>
    <t xml:space="preserve">—</t>
  </si>
  <si>
    <t xml:space="preserve">估算：331.6M×$50–120均价</t>
  </si>
  <si>
    <t xml:space="preserve">中低</t>
  </si>
  <si>
    <t xml:space="preserve">更贴近出货量现实，见勾稽表</t>
  </si>
  <si>
    <t xml:space="preserve">销售额（被剔除的高估值）</t>
  </si>
  <si>
    <t xml:space="preserve">$150B+ / CAGR 25–35%</t>
  </si>
  <si>
    <t xml:space="preserve">不采信</t>
  </si>
  <si>
    <t xml:space="preserve">部分SEO预测报告</t>
  </si>
  <si>
    <t xml:space="preserve">与13%出货量增速矛盾，剔除</t>
  </si>
  <si>
    <t xml:space="preserve">上游：TWS芯片组市场</t>
  </si>
  <si>
    <t xml:space="preserve">约 $74.1 亿</t>
  </si>
  <si>
    <t xml:space="preserve">CAGR 5.6%(25-31)</t>
  </si>
  <si>
    <t xml:space="preserve">QYResearch</t>
  </si>
  <si>
    <t xml:space="preserve">中</t>
  </si>
  <si>
    <r>
      <rPr>
        <sz val="10"/>
        <rFont val="Arial"/>
        <family val="0"/>
        <charset val="1"/>
      </rPr>
      <t xml:space="preserve">22.8</t>
    </r>
    <r>
      <rPr>
        <sz val="10"/>
        <rFont val="Noto Sans CJK SC"/>
        <family val="2"/>
      </rPr>
      <t xml:space="preserve">亿颗、均价</t>
    </r>
    <r>
      <rPr>
        <sz val="10"/>
        <rFont val="Arial"/>
        <family val="0"/>
        <charset val="1"/>
      </rPr>
      <t xml:space="preserve">$3.25/</t>
    </r>
    <r>
      <rPr>
        <sz val="10"/>
        <rFont val="Noto Sans CJK SC"/>
        <family val="2"/>
      </rPr>
      <t xml:space="preserve">颗</t>
    </r>
  </si>
  <si>
    <t xml:space="preserve">全球 TWS 地区分布（2024，销量 vs 销售额；均为中点估算，区间见备注）</t>
  </si>
  <si>
    <t xml:space="preserve">关键洞察：亚太按销量第一、按销售额回落；北美按销量第二、按销售额领先（AirPods高客单价）。</t>
  </si>
  <si>
    <t xml:space="preserve">地区</t>
  </si>
  <si>
    <t xml:space="preserve">销量份额(中点)</t>
  </si>
  <si>
    <t xml:space="preserve">销量区间</t>
  </si>
  <si>
    <t xml:space="preserve">销售额份额(中点)</t>
  </si>
  <si>
    <t xml:space="preserve">销售额区间</t>
  </si>
  <si>
    <t xml:space="preserve">近年CAGR(估)</t>
  </si>
  <si>
    <t xml:space="preserve">主要驱动 / 归因</t>
  </si>
  <si>
    <t xml:space="preserve">亚太（含中国）</t>
  </si>
  <si>
    <t xml:space="preserve">40%</t>
  </si>
  <si>
    <t xml:space="preserve">35–49%</t>
  </si>
  <si>
    <t xml:space="preserve">30%</t>
  </si>
  <si>
    <t xml:space="preserve">23–42%</t>
  </si>
  <si>
    <t xml:space="preserve">高（最快）</t>
  </si>
  <si>
    <t xml:space="preserve">中国~28%全球量；小米/boAt/白牌低价；印度·东南亚新增；手机去耳机孔；制造基地+电商闪购</t>
  </si>
  <si>
    <t xml:space="preserve">北美</t>
  </si>
  <si>
    <t xml:space="preserve">28%</t>
  </si>
  <si>
    <t xml:space="preserve">27–30%</t>
  </si>
  <si>
    <t xml:space="preserve">33%</t>
  </si>
  <si>
    <t xml:space="preserve">30–36%</t>
  </si>
  <si>
    <r>
      <rPr>
        <sz val="10"/>
        <rFont val="Arial"/>
        <family val="0"/>
        <charset val="1"/>
      </rPr>
      <t xml:space="preserve">AirPods</t>
    </r>
    <r>
      <rPr>
        <sz val="10"/>
        <rFont val="Noto Sans CJK SC"/>
        <family val="2"/>
      </rPr>
      <t xml:space="preserve">生态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高可支配收入</t>
    </r>
    <r>
      <rPr>
        <sz val="10"/>
        <rFont val="Arial"/>
        <family val="0"/>
        <charset val="1"/>
      </rPr>
      <t xml:space="preserve">+ANC</t>
    </r>
    <r>
      <rPr>
        <sz val="10"/>
        <rFont val="Noto Sans CJK SC"/>
        <family val="2"/>
      </rPr>
      <t xml:space="preserve">高配置率；流媒体；</t>
    </r>
    <r>
      <rPr>
        <sz val="10"/>
        <rFont val="Arial"/>
        <family val="0"/>
        <charset val="1"/>
      </rPr>
      <t xml:space="preserve">FCC 2028</t>
    </r>
    <r>
      <rPr>
        <sz val="10"/>
        <rFont val="Noto Sans CJK SC"/>
        <family val="2"/>
      </rPr>
      <t xml:space="preserve">助听兼容新规为未来增量</t>
    </r>
  </si>
  <si>
    <t xml:space="preserve">欧洲（含EU）</t>
  </si>
  <si>
    <t xml:space="preserve">20%</t>
  </si>
  <si>
    <t xml:space="preserve">19–27%</t>
  </si>
  <si>
    <t xml:space="preserve">27%</t>
  </si>
  <si>
    <t xml:space="preserve">27–28%</t>
  </si>
  <si>
    <t xml:space="preserve">德/英/法领先；偏好高保真与可持续/可维修设计；环保法规；有线→无线切换</t>
  </si>
  <si>
    <t xml:space="preserve">其他地区</t>
  </si>
  <si>
    <t xml:space="preserve">12%</t>
  </si>
  <si>
    <t xml:space="preserve">5–12%</t>
  </si>
  <si>
    <t xml:space="preserve">10%</t>
  </si>
  <si>
    <t xml:space="preserve">6–10%</t>
  </si>
  <si>
    <t xml:space="preserve">中高</t>
  </si>
  <si>
    <t xml:space="preserve">拉美(巴西/墨西哥)、中东非；预算机型为主；智能手机普及驱动</t>
  </si>
  <si>
    <t xml:space="preserve">合计</t>
  </si>
  <si>
    <t xml:space="preserve">100%</t>
  </si>
  <si>
    <t xml:space="preserve">份额闭合校验：见勾稽表</t>
  </si>
  <si>
    <t xml:space="preserve">全球 TWS 品牌份额（按出货量，2024）</t>
  </si>
  <si>
    <t xml:space="preserve">品牌</t>
  </si>
  <si>
    <t xml:space="preserve">出货量(万台)</t>
  </si>
  <si>
    <t xml:space="preserve">份额</t>
  </si>
  <si>
    <t xml:space="preserve">同比</t>
  </si>
  <si>
    <t xml:space="preserve">来源</t>
  </si>
  <si>
    <t xml:space="preserve">苹果 Apple</t>
  </si>
  <si>
    <t xml:space="preserve">23%</t>
  </si>
  <si>
    <t xml:space="preserve">Canalys</t>
  </si>
  <si>
    <t xml:space="preserve">三星 Samsung</t>
  </si>
  <si>
    <t xml:space="preserve">9%</t>
  </si>
  <si>
    <t xml:space="preserve">+13%</t>
  </si>
  <si>
    <t xml:space="preserve">小米 Xiaomi</t>
  </si>
  <si>
    <t xml:space="preserve">8%</t>
  </si>
  <si>
    <t xml:space="preserve">+58%</t>
  </si>
  <si>
    <r>
      <rPr>
        <sz val="10"/>
        <rFont val="Arial"/>
        <family val="0"/>
        <charset val="1"/>
      </rPr>
      <t xml:space="preserve">boAt</t>
    </r>
    <r>
      <rPr>
        <sz val="10"/>
        <rFont val="Noto Sans CJK SC"/>
        <family val="2"/>
      </rPr>
      <t xml:space="preserve">（印度）</t>
    </r>
  </si>
  <si>
    <t xml:space="preserve">6%</t>
  </si>
  <si>
    <t xml:space="preserve">+18%</t>
  </si>
  <si>
    <t xml:space="preserve">华为 Huawei</t>
  </si>
  <si>
    <t xml:space="preserve">5%</t>
  </si>
  <si>
    <t xml:space="preserve">+60%</t>
  </si>
  <si>
    <t xml:space="preserve">其他</t>
  </si>
  <si>
    <t xml:space="preserve">49%</t>
  </si>
  <si>
    <t xml:space="preserve">推算(100%-Top5)</t>
  </si>
  <si>
    <r>
      <rPr>
        <b val="true"/>
        <sz val="10"/>
        <rFont val="Arial"/>
        <family val="0"/>
        <charset val="1"/>
      </rPr>
      <t xml:space="preserve">Top5 </t>
    </r>
    <r>
      <rPr>
        <b val="true"/>
        <sz val="10"/>
        <rFont val="Noto Sans CJK SC"/>
        <family val="2"/>
      </rPr>
      <t xml:space="preserve">合计</t>
    </r>
  </si>
  <si>
    <t xml:space="preserve">注：大盘出货量 3.30 亿台 = 33,000 万台。</t>
  </si>
  <si>
    <t xml:space="preserve">附录A：数据勾稽自检</t>
  </si>
  <si>
    <t xml:space="preserve">校验项</t>
  </si>
  <si>
    <t xml:space="preserve">口径</t>
  </si>
  <si>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</si>
  <si>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值</t>
    </r>
  </si>
  <si>
    <t xml:space="preserve">推算</t>
  </si>
  <si>
    <t xml:space="preserve">报告中对应</t>
  </si>
  <si>
    <t xml:space="preserve">结论</t>
  </si>
  <si>
    <t xml:space="preserve">出货量×均价≟销售额</t>
  </si>
  <si>
    <r>
      <rPr>
        <sz val="10"/>
        <rFont val="Arial"/>
        <family val="0"/>
        <charset val="1"/>
      </rPr>
      <t xml:space="preserve">TWS/</t>
    </r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/2024</t>
    </r>
  </si>
  <si>
    <r>
      <rPr>
        <sz val="10"/>
        <rFont val="Arial"/>
        <family val="0"/>
        <charset val="1"/>
      </rPr>
      <t xml:space="preserve">3.316</t>
    </r>
    <r>
      <rPr>
        <sz val="10"/>
        <rFont val="Noto Sans CJK SC"/>
        <family val="2"/>
      </rPr>
      <t xml:space="preserve">亿台</t>
    </r>
  </si>
  <si>
    <t xml:space="preserve">均价$50–120</t>
  </si>
  <si>
    <t xml:space="preserve">$17B–$40B</t>
  </si>
  <si>
    <t xml:space="preserve">机构区间$15–57B</t>
  </si>
  <si>
    <t xml:space="preserve">低端对得上；高估值($150B)剔除</t>
  </si>
  <si>
    <t xml:space="preserve">份额×大盘≟玩家量</t>
  </si>
  <si>
    <t xml:space="preserve">苹果23%</t>
  </si>
  <si>
    <r>
      <rPr>
        <sz val="10"/>
        <rFont val="Arial"/>
        <family val="0"/>
        <charset val="1"/>
      </rPr>
      <t xml:space="preserve">3.3</t>
    </r>
    <r>
      <rPr>
        <sz val="10"/>
        <rFont val="Noto Sans CJK SC"/>
        <family val="2"/>
      </rPr>
      <t xml:space="preserve">亿台</t>
    </r>
  </si>
  <si>
    <r>
      <rPr>
        <sz val="10"/>
        <rFont val="Arial"/>
        <family val="0"/>
        <charset val="1"/>
      </rPr>
      <t xml:space="preserve">≈7590</t>
    </r>
    <r>
      <rPr>
        <sz val="10"/>
        <rFont val="Noto Sans CJK SC"/>
        <family val="2"/>
      </rPr>
      <t xml:space="preserve">万台</t>
    </r>
  </si>
  <si>
    <t xml:space="preserve">苹果7600万台</t>
  </si>
  <si>
    <t xml:space="preserve">对得上（差&lt;1%）</t>
  </si>
  <si>
    <t xml:space="preserve">各品牌份额合计≟100%</t>
  </si>
  <si>
    <t xml:space="preserve">出货量份额</t>
  </si>
  <si>
    <t xml:space="preserve">Top5=51%</t>
  </si>
  <si>
    <t xml:space="preserve">其他49%</t>
  </si>
  <si>
    <t xml:space="preserve">闭合</t>
  </si>
  <si>
    <t xml:space="preserve">地区销量份额≟100%</t>
  </si>
  <si>
    <t xml:space="preserve">亚40+北28+欧20</t>
  </si>
  <si>
    <t xml:space="preserve">其他12</t>
  </si>
  <si>
    <t xml:space="preserve">闭合（中点）</t>
  </si>
  <si>
    <t xml:space="preserve">量份额 vs 额份额</t>
  </si>
  <si>
    <t xml:space="preserve">亚太/2024</t>
  </si>
  <si>
    <t xml:space="preserve">销量40%</t>
  </si>
  <si>
    <t xml:space="preserve">销售额30%</t>
  </si>
  <si>
    <t xml:space="preserve">差10pct</t>
  </si>
  <si>
    <t xml:space="preserve">低单价拖累</t>
  </si>
  <si>
    <t xml:space="preserve">方向一致，合理</t>
  </si>
  <si>
    <t xml:space="preserve">主要来源（编号对应 HTML 报告参考文献）</t>
  </si>
  <si>
    <t xml:space="preserve">#</t>
  </si>
  <si>
    <t xml:space="preserve">内容</t>
  </si>
  <si>
    <t xml:space="preserve">URL</t>
  </si>
  <si>
    <r>
      <rPr>
        <sz val="10"/>
        <rFont val="Arial"/>
        <family val="0"/>
        <charset val="1"/>
      </rPr>
      <t xml:space="preserve">Canalys / </t>
    </r>
    <r>
      <rPr>
        <sz val="10"/>
        <rFont val="Noto Sans CJK SC"/>
        <family val="2"/>
      </rPr>
      <t xml:space="preserve">新浪科技</t>
    </r>
  </si>
  <si>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TWS</t>
    </r>
    <r>
      <rPr>
        <sz val="10"/>
        <rFont val="Noto Sans CJK SC"/>
        <family val="2"/>
      </rPr>
      <t xml:space="preserve">出货</t>
    </r>
    <r>
      <rPr>
        <sz val="10"/>
        <rFont val="Arial"/>
        <family val="0"/>
        <charset val="1"/>
      </rPr>
      <t xml:space="preserve">3.3</t>
    </r>
    <r>
      <rPr>
        <sz val="10"/>
        <rFont val="Noto Sans CJK SC"/>
        <family val="2"/>
      </rPr>
      <t xml:space="preserve">亿台</t>
    </r>
    <r>
      <rPr>
        <sz val="10"/>
        <rFont val="Arial"/>
        <family val="0"/>
        <charset val="1"/>
      </rPr>
      <t xml:space="preserve">+13%</t>
    </r>
    <r>
      <rPr>
        <sz val="10"/>
        <rFont val="Noto Sans CJK SC"/>
        <family val="2"/>
      </rPr>
      <t xml:space="preserve">，品牌份额</t>
    </r>
  </si>
  <si>
    <t xml:space="preserve">https://finance.sina.com.cn/tech/roll/2025-02-28/doc-inemzcmm7103763.shtml</t>
  </si>
  <si>
    <r>
      <rPr>
        <sz val="10"/>
        <rFont val="Arial"/>
        <family val="0"/>
        <charset val="1"/>
      </rPr>
      <t xml:space="preserve">Canalys / </t>
    </r>
    <r>
      <rPr>
        <sz val="10"/>
        <rFont val="Noto Sans CJK SC"/>
        <family val="2"/>
      </rPr>
      <t xml:space="preserve">腾讯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国际电子商情</t>
    </r>
  </si>
  <si>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全球个人智能音频</t>
    </r>
    <r>
      <rPr>
        <sz val="10"/>
        <rFont val="Arial"/>
        <family val="0"/>
        <charset val="1"/>
      </rPr>
      <t xml:space="preserve">4.55</t>
    </r>
    <r>
      <rPr>
        <sz val="10"/>
        <rFont val="Noto Sans CJK SC"/>
        <family val="2"/>
      </rPr>
      <t xml:space="preserve">亿台</t>
    </r>
    <r>
      <rPr>
        <sz val="10"/>
        <rFont val="Arial"/>
        <family val="0"/>
        <charset val="1"/>
      </rPr>
      <t xml:space="preserve">+11.2%</t>
    </r>
  </si>
  <si>
    <t xml:space="preserve">https://www.esmchina.com/marketnews/52775.html</t>
  </si>
  <si>
    <t xml:space="preserve">Market Growth Reports</t>
  </si>
  <si>
    <r>
      <rPr>
        <sz val="10"/>
        <rFont val="Arial"/>
        <family val="0"/>
        <charset val="1"/>
      </rPr>
      <t xml:space="preserve">TWS</t>
    </r>
    <r>
      <rPr>
        <sz val="10"/>
        <rFont val="Noto Sans CJK SC"/>
        <family val="2"/>
      </rPr>
      <t xml:space="preserve">占智能音频</t>
    </r>
    <r>
      <rPr>
        <sz val="10"/>
        <rFont val="Arial"/>
        <family val="0"/>
        <charset val="1"/>
      </rPr>
      <t xml:space="preserve">72.8%</t>
    </r>
    <r>
      <rPr>
        <sz val="10"/>
        <rFont val="Noto Sans CJK SC"/>
        <family val="2"/>
      </rPr>
      <t xml:space="preserve">；地区量份额</t>
    </r>
  </si>
  <si>
    <t xml:space="preserve">https://www.marketgrowthreports.com/market-reports/earbuds-market-109942</t>
  </si>
  <si>
    <t xml:space="preserve">潮电智库 / 东方财富</t>
  </si>
  <si>
    <t xml:space="preserve">中国占全球TWS约28%；150+美元占44%</t>
  </si>
  <si>
    <t xml:space="preserve">https://caifuhao.eastmoney.com/news/20250328113516177599700</t>
  </si>
  <si>
    <t xml:space="preserve">Credence Research</t>
  </si>
  <si>
    <t xml:space="preserve">无线耳机：北美~34%额、亚太~29%、欧洲~27%</t>
  </si>
  <si>
    <t xml:space="preserve">https://www.credenceresearch.com/report/wireless-headphones-market</t>
  </si>
  <si>
    <t xml:space="preserve">Industry Research</t>
  </si>
  <si>
    <t xml:space="preserve">地区量份额 亚49/北27/欧19/其他5</t>
  </si>
  <si>
    <t xml:space="preserve">https://www.industryresearch.biz/market-reports/true-wireless-stereo-earbuds-market-110944</t>
  </si>
  <si>
    <t xml:space="preserve">Cognitive Market Research</t>
  </si>
  <si>
    <r>
      <rPr>
        <sz val="10"/>
        <rFont val="Arial"/>
        <family val="0"/>
        <charset val="1"/>
      </rPr>
      <t xml:space="preserve">TWS</t>
    </r>
    <r>
      <rPr>
        <sz val="10"/>
        <rFont val="Noto Sans CJK SC"/>
        <family val="2"/>
      </rPr>
      <t xml:space="preserve">额</t>
    </r>
    <r>
      <rPr>
        <sz val="10"/>
        <rFont val="Arial"/>
        <family val="0"/>
        <charset val="1"/>
      </rPr>
      <t xml:space="preserve">$57.2B(2024)</t>
    </r>
    <r>
      <rPr>
        <sz val="10"/>
        <rFont val="Noto Sans CJK SC"/>
        <family val="2"/>
      </rPr>
      <t xml:space="preserve">，北美主导</t>
    </r>
  </si>
  <si>
    <t xml:space="preserve">https://www.cognitivemarketresearch.com/true-wireless-earbuds-market-report</t>
  </si>
  <si>
    <t xml:space="preserve">Business Research Insights</t>
  </si>
  <si>
    <r>
      <rPr>
        <sz val="10"/>
        <rFont val="Arial"/>
        <family val="0"/>
        <charset val="1"/>
      </rPr>
      <t xml:space="preserve">TWS</t>
    </r>
    <r>
      <rPr>
        <sz val="10"/>
        <rFont val="Noto Sans CJK SC"/>
        <family val="2"/>
      </rPr>
      <t xml:space="preserve">额</t>
    </r>
    <r>
      <rPr>
        <sz val="10"/>
        <rFont val="Arial"/>
        <family val="0"/>
        <charset val="1"/>
      </rPr>
      <t xml:space="preserve">$45.77B(2024)</t>
    </r>
  </si>
  <si>
    <t xml:space="preserve">https://www.businessresearchinsights.com/market-reports/tws-market-119076</t>
  </si>
  <si>
    <t xml:space="preserve">Future Market Report</t>
  </si>
  <si>
    <r>
      <rPr>
        <sz val="10"/>
        <rFont val="Arial"/>
        <family val="0"/>
        <charset val="1"/>
      </rPr>
      <t xml:space="preserve">TWS</t>
    </r>
    <r>
      <rPr>
        <sz val="10"/>
        <rFont val="Noto Sans CJK SC"/>
        <family val="2"/>
      </rPr>
      <t xml:space="preserve">蓝牙耳机额</t>
    </r>
    <r>
      <rPr>
        <sz val="10"/>
        <rFont val="Arial"/>
        <family val="0"/>
        <charset val="1"/>
      </rPr>
      <t xml:space="preserve">$15B(2024)</t>
    </r>
    <r>
      <rPr>
        <sz val="10"/>
        <rFont val="Noto Sans CJK SC"/>
        <family val="2"/>
      </rPr>
      <t xml:space="preserve">，北美增长最快</t>
    </r>
  </si>
  <si>
    <t xml:space="preserve">https://www.futuremarketreport.com/industry-report/tws-bluetooth-earbuds-market</t>
  </si>
  <si>
    <r>
      <rPr>
        <sz val="10"/>
        <rFont val="Arial"/>
        <family val="0"/>
        <charset val="1"/>
      </rPr>
      <t xml:space="preserve">QYResearch / </t>
    </r>
    <r>
      <rPr>
        <sz val="10"/>
        <rFont val="Noto Sans CJK SC"/>
        <family val="2"/>
      </rPr>
      <t xml:space="preserve">格隆汇</t>
    </r>
  </si>
  <si>
    <r>
      <rPr>
        <sz val="10"/>
        <rFont val="Arial"/>
        <family val="0"/>
        <charset val="1"/>
      </rPr>
      <t xml:space="preserve">TWS</t>
    </r>
    <r>
      <rPr>
        <sz val="10"/>
        <rFont val="Noto Sans CJK SC"/>
        <family val="2"/>
      </rPr>
      <t xml:space="preserve">芯片组</t>
    </r>
    <r>
      <rPr>
        <sz val="10"/>
        <rFont val="Arial"/>
        <family val="0"/>
        <charset val="1"/>
      </rPr>
      <t xml:space="preserve">$74.1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(2024)</t>
    </r>
  </si>
  <si>
    <t xml:space="preserve">https://m.gelonghui.com/p/2794968</t>
  </si>
  <si>
    <t xml:space="preserve">Mordor Intelligence</t>
  </si>
  <si>
    <r>
      <rPr>
        <sz val="10"/>
        <rFont val="Arial"/>
        <family val="0"/>
        <charset val="1"/>
      </rPr>
      <t xml:space="preserve">Earbuds</t>
    </r>
    <r>
      <rPr>
        <sz val="10"/>
        <rFont val="Noto Sans CJK SC"/>
        <family val="2"/>
      </rPr>
      <t xml:space="preserve">亚太</t>
    </r>
    <r>
      <rPr>
        <sz val="10"/>
        <rFont val="Arial"/>
        <family val="0"/>
        <charset val="1"/>
      </rPr>
      <t xml:space="preserve">36.8%</t>
    </r>
    <r>
      <rPr>
        <sz val="10"/>
        <rFont val="Noto Sans CJK SC"/>
        <family val="2"/>
      </rPr>
      <t xml:space="preserve">份额</t>
    </r>
  </si>
  <si>
    <t xml:space="preserve">https://www.mordorintelligence.com/industry-reports/earbuds-market</t>
  </si>
  <si>
    <t xml:space="preserve">Global Market Monitor</t>
  </si>
  <si>
    <r>
      <rPr>
        <sz val="10"/>
        <rFont val="Arial"/>
        <family val="0"/>
        <charset val="1"/>
      </rPr>
      <t xml:space="preserve">TWS</t>
    </r>
    <r>
      <rPr>
        <sz val="10"/>
        <rFont val="Noto Sans CJK SC"/>
        <family val="2"/>
      </rPr>
      <t xml:space="preserve">规模</t>
    </r>
    <r>
      <rPr>
        <sz val="10"/>
        <rFont val="Arial"/>
        <family val="0"/>
        <charset val="1"/>
      </rPr>
      <t xml:space="preserve">$152.64</t>
    </r>
    <r>
      <rPr>
        <sz val="10"/>
        <rFont val="Noto Sans CJK SC"/>
        <family val="2"/>
      </rPr>
      <t xml:space="preserve">亿</t>
    </r>
    <r>
      <rPr>
        <sz val="10"/>
        <rFont val="Arial"/>
        <family val="0"/>
        <charset val="1"/>
      </rPr>
      <t xml:space="preserve">(2024)[</t>
    </r>
    <r>
      <rPr>
        <sz val="10"/>
        <rFont val="Noto Sans CJK SC"/>
        <family val="2"/>
      </rPr>
      <t xml:space="preserve">高估，仅列示</t>
    </r>
    <r>
      <rPr>
        <sz val="10"/>
        <rFont val="Arial"/>
        <family val="0"/>
        <charset val="1"/>
      </rPr>
      <t xml:space="preserve">]</t>
    </r>
  </si>
  <si>
    <t xml:space="preserve">https://www.globalmarketmonitor.com.cn/market_news/2932948.html</t>
  </si>
  <si>
    <r>
      <rPr>
        <b val="true"/>
        <sz val="13"/>
        <rFont val="Noto Sans CJK SC"/>
        <family val="2"/>
      </rPr>
      <t xml:space="preserve">代表性 </t>
    </r>
    <r>
      <rPr>
        <b val="true"/>
        <sz val="13"/>
        <rFont val="Arial"/>
        <family val="0"/>
        <charset val="1"/>
      </rPr>
      <t xml:space="preserve">BOM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$/</t>
    </r>
    <r>
      <rPr>
        <b val="true"/>
        <sz val="13"/>
        <rFont val="Noto Sans CJK SC"/>
        <family val="2"/>
      </rPr>
      <t xml:space="preserve">对，估算值，置信度：中低）</t>
    </r>
  </si>
  <si>
    <r>
      <rPr>
        <i val="true"/>
        <sz val="9"/>
        <color rgb="FF666666"/>
        <rFont val="Noto Sans CJK SC"/>
        <family val="2"/>
      </rPr>
      <t xml:space="preserve">数据来源：</t>
    </r>
    <r>
      <rPr>
        <i val="true"/>
        <sz val="9"/>
        <color rgb="FF666666"/>
        <rFont val="Arial"/>
        <family val="0"/>
        <charset val="1"/>
      </rPr>
      <t xml:space="preserve">Happy Kitchen</t>
    </r>
    <r>
      <rPr>
        <i val="true"/>
        <sz val="9"/>
        <color rgb="FF666666"/>
        <rFont val="Noto Sans CJK SC"/>
        <family val="2"/>
      </rPr>
      <t xml:space="preserve">拆解分析</t>
    </r>
    <r>
      <rPr>
        <i val="true"/>
        <sz val="9"/>
        <color rgb="FF666666"/>
        <rFont val="Arial"/>
        <family val="0"/>
        <charset val="1"/>
      </rPr>
      <t xml:space="preserve">($30</t>
    </r>
    <r>
      <rPr>
        <i val="true"/>
        <sz val="9"/>
        <color rgb="FF666666"/>
        <rFont val="Noto Sans CJK SC"/>
        <family val="2"/>
      </rPr>
      <t xml:space="preserve">机型</t>
    </r>
    <r>
      <rPr>
        <i val="true"/>
        <sz val="9"/>
        <color rgb="FF666666"/>
        <rFont val="Arial"/>
        <family val="0"/>
        <charset val="1"/>
      </rPr>
      <t xml:space="preserve">) + Market Growth Reports + TechInsights(</t>
    </r>
    <r>
      <rPr>
        <i val="true"/>
        <sz val="9"/>
        <color rgb="FF666666"/>
        <rFont val="Noto Sans CJK SC"/>
        <family val="2"/>
      </rPr>
      <t xml:space="preserve">华为</t>
    </r>
    <r>
      <rPr>
        <i val="true"/>
        <sz val="9"/>
        <color rgb="FF666666"/>
        <rFont val="Arial"/>
        <family val="0"/>
        <charset val="1"/>
      </rPr>
      <t xml:space="preserve">FreeBuds Pro 4</t>
    </r>
    <r>
      <rPr>
        <i val="true"/>
        <sz val="9"/>
        <color rgb="FF666666"/>
        <rFont val="Noto Sans CJK SC"/>
        <family val="2"/>
      </rPr>
      <t xml:space="preserve">拆解</t>
    </r>
    <r>
      <rPr>
        <i val="true"/>
        <sz val="9"/>
        <color rgb="FF666666"/>
        <rFont val="Arial"/>
        <family val="0"/>
        <charset val="1"/>
      </rPr>
      <t xml:space="preserve">) + </t>
    </r>
    <r>
      <rPr>
        <i val="true"/>
        <sz val="9"/>
        <color rgb="FF666666"/>
        <rFont val="Noto Sans CJK SC"/>
        <family val="2"/>
      </rPr>
      <t xml:space="preserve">综合估算</t>
    </r>
  </si>
  <si>
    <t xml:space="preserve">物料</t>
  </si>
  <si>
    <r>
      <rPr>
        <b val="true"/>
        <sz val="11"/>
        <color rgb="FFFFFFFF"/>
        <rFont val="Arial"/>
        <family val="0"/>
        <charset val="1"/>
      </rPr>
      <t xml:space="preserve">$30</t>
    </r>
    <r>
      <rPr>
        <b val="true"/>
        <sz val="11"/>
        <color rgb="FFFFFFFF"/>
        <rFont val="Noto Sans CJK SC"/>
        <family val="2"/>
      </rPr>
      <t xml:space="preserve">入门</t>
    </r>
    <r>
      <rPr>
        <b val="true"/>
        <sz val="11"/>
        <color rgb="FFFFFFFF"/>
        <rFont val="Arial"/>
        <family val="0"/>
        <charset val="1"/>
      </rPr>
      <t xml:space="preserve">BOM</t>
    </r>
  </si>
  <si>
    <r>
      <rPr>
        <b val="true"/>
        <sz val="11"/>
        <color rgb="FFFFFFFF"/>
        <rFont val="Arial"/>
        <family val="0"/>
        <charset val="1"/>
      </rPr>
      <t xml:space="preserve">$100</t>
    </r>
    <r>
      <rPr>
        <b val="true"/>
        <sz val="11"/>
        <color rgb="FFFFFFFF"/>
        <rFont val="Noto Sans CJK SC"/>
        <family val="2"/>
      </rPr>
      <t xml:space="preserve">中端</t>
    </r>
    <r>
      <rPr>
        <b val="true"/>
        <sz val="11"/>
        <color rgb="FFFFFFFF"/>
        <rFont val="Arial"/>
        <family val="0"/>
        <charset val="1"/>
      </rPr>
      <t xml:space="preserve">BOM</t>
    </r>
  </si>
  <si>
    <r>
      <rPr>
        <b val="true"/>
        <sz val="11"/>
        <color rgb="FFFFFFFF"/>
        <rFont val="Arial"/>
        <family val="0"/>
        <charset val="1"/>
      </rPr>
      <t xml:space="preserve">$250</t>
    </r>
    <r>
      <rPr>
        <b val="true"/>
        <sz val="11"/>
        <color rgb="FFFFFFFF"/>
        <rFont val="Noto Sans CJK SC"/>
        <family val="2"/>
      </rPr>
      <t xml:space="preserve">旗舰</t>
    </r>
    <r>
      <rPr>
        <b val="true"/>
        <sz val="11"/>
        <color rgb="FFFFFFFF"/>
        <rFont val="Arial"/>
        <family val="0"/>
        <charset val="1"/>
      </rPr>
      <t xml:space="preserve">BOM</t>
    </r>
  </si>
  <si>
    <t xml:space="preserve">主要来源地</t>
  </si>
  <si>
    <t xml:space="preserve">关键供应商</t>
  </si>
  <si>
    <r>
      <rPr>
        <sz val="10"/>
        <rFont val="Noto Sans CJK SC"/>
        <family val="2"/>
      </rPr>
      <t xml:space="preserve">蓝牙 </t>
    </r>
    <r>
      <rPr>
        <sz val="10"/>
        <rFont val="Arial"/>
        <family val="0"/>
        <charset val="1"/>
      </rPr>
      <t xml:space="preserve">SoC</t>
    </r>
    <r>
      <rPr>
        <sz val="10"/>
        <rFont val="Noto Sans CJK SC"/>
        <family val="2"/>
      </rPr>
      <t xml:space="preserve">（主控芯片）</t>
    </r>
  </si>
  <si>
    <t xml:space="preserve">$1–3</t>
  </si>
  <si>
    <t xml:space="preserve">$3–6</t>
  </si>
  <si>
    <t xml:space="preserve">$8–15</t>
  </si>
  <si>
    <r>
      <rPr>
        <sz val="10"/>
        <rFont val="Noto Sans CJK SC"/>
        <family val="2"/>
      </rPr>
      <t xml:space="preserve">中国设计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台积电制造</t>
    </r>
  </si>
  <si>
    <r>
      <rPr>
        <sz val="10"/>
        <rFont val="Arial"/>
        <family val="0"/>
        <charset val="1"/>
      </rPr>
      <t xml:space="preserve">Jieli/BES/Airoha(</t>
    </r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); MediaTek(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); Qualcomm(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</si>
  <si>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MEMS</t>
    </r>
    <r>
      <rPr>
        <sz val="10"/>
        <rFont val="Noto Sans CJK SC"/>
        <family val="2"/>
      </rPr>
      <t xml:space="preserve">麦克风</t>
    </r>
    <r>
      <rPr>
        <sz val="10"/>
        <rFont val="Arial"/>
        <family val="0"/>
        <charset val="1"/>
      </rPr>
      <t xml:space="preserve">(2–4</t>
    </r>
    <r>
      <rPr>
        <sz val="10"/>
        <rFont val="Noto Sans CJK SC"/>
        <family val="2"/>
      </rPr>
      <t xml:space="preserve">颗</t>
    </r>
    <r>
      <rPr>
        <sz val="10"/>
        <rFont val="Arial"/>
        <family val="0"/>
        <charset val="1"/>
      </rPr>
      <t xml:space="preserve">)</t>
    </r>
  </si>
  <si>
    <t xml:space="preserve">$0.5–1</t>
  </si>
  <si>
    <t xml:space="preserve">中美混合</t>
  </si>
  <si>
    <r>
      <rPr>
        <sz val="10"/>
        <rFont val="Arial"/>
        <family val="0"/>
        <charset val="1"/>
      </rPr>
      <t xml:space="preserve">Knowles(</t>
    </r>
    <r>
      <rPr>
        <sz val="10"/>
        <rFont val="Noto Sans CJK SC"/>
        <family val="2"/>
      </rPr>
      <t xml:space="preserve">美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歌尔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</si>
  <si>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扬声器单元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对</t>
    </r>
    <r>
      <rPr>
        <sz val="10"/>
        <rFont val="Arial"/>
        <family val="0"/>
        <charset val="1"/>
      </rPr>
      <t xml:space="preserve">)</t>
    </r>
  </si>
  <si>
    <t xml:space="preserve">$1–2</t>
  </si>
  <si>
    <t xml:space="preserve">$3–8</t>
  </si>
  <si>
    <t xml:space="preserve">中国主导</t>
  </si>
  <si>
    <r>
      <rPr>
        <sz val="10"/>
        <rFont val="Noto Sans CJK SC"/>
        <family val="2"/>
      </rPr>
      <t xml:space="preserve">歌尔</t>
    </r>
    <r>
      <rPr>
        <sz val="10"/>
        <rFont val="Arial"/>
        <family val="0"/>
        <charset val="1"/>
      </rPr>
      <t xml:space="preserve">/AAC/</t>
    </r>
    <r>
      <rPr>
        <sz val="10"/>
        <rFont val="Noto Sans CJK SC"/>
        <family val="2"/>
      </rPr>
      <t xml:space="preserve">楼氏</t>
    </r>
  </si>
  <si>
    <r>
      <rPr>
        <sz val="10"/>
        <rFont val="Noto Sans CJK SC"/>
        <family val="2"/>
      </rPr>
      <t xml:space="preserve">电池（耳机</t>
    </r>
    <r>
      <rPr>
        <sz val="10"/>
        <rFont val="Arial"/>
        <family val="0"/>
        <charset val="1"/>
      </rPr>
      <t xml:space="preserve">×2+</t>
    </r>
    <r>
      <rPr>
        <sz val="10"/>
        <rFont val="Noto Sans CJK SC"/>
        <family val="2"/>
      </rPr>
      <t xml:space="preserve">充电仓）</t>
    </r>
  </si>
  <si>
    <t xml:space="preserve">$2–4</t>
  </si>
  <si>
    <t xml:space="preserve">$5–10</t>
  </si>
  <si>
    <r>
      <rPr>
        <sz val="10"/>
        <rFont val="Arial"/>
        <family val="0"/>
        <charset val="1"/>
      </rPr>
      <t xml:space="preserve">ATL/SDI/</t>
    </r>
    <r>
      <rPr>
        <sz val="10"/>
        <rFont val="Noto Sans CJK SC"/>
        <family val="2"/>
      </rPr>
      <t xml:space="preserve">比亚迪电池</t>
    </r>
  </si>
  <si>
    <r>
      <rPr>
        <sz val="10"/>
        <rFont val="Arial"/>
        <family val="0"/>
        <charset val="1"/>
      </rPr>
      <t xml:space="preserve">FPC/PCB/</t>
    </r>
    <r>
      <rPr>
        <sz val="10"/>
        <rFont val="Noto Sans CJK SC"/>
        <family val="2"/>
      </rPr>
      <t xml:space="preserve">外壳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接口</t>
    </r>
  </si>
  <si>
    <t xml:space="preserve">$2–3</t>
  </si>
  <si>
    <t xml:space="preserve">$4–6</t>
  </si>
  <si>
    <r>
      <rPr>
        <sz val="10"/>
        <rFont val="Noto Sans CJK SC"/>
        <family val="2"/>
      </rPr>
      <t xml:space="preserve">深南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鹏鼎控股</t>
    </r>
  </si>
  <si>
    <t xml:space="preserve">组装工时（含品控）</t>
  </si>
  <si>
    <t xml:space="preserve">$3–5</t>
  </si>
  <si>
    <r>
      <rPr>
        <sz val="10"/>
        <rFont val="Noto Sans CJK SC"/>
        <family val="2"/>
      </rPr>
      <t xml:space="preserve">中国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越南</t>
    </r>
  </si>
  <si>
    <r>
      <rPr>
        <sz val="10"/>
        <rFont val="Noto Sans CJK SC"/>
        <family val="2"/>
      </rPr>
      <t xml:space="preserve">歌尔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立讯</t>
    </r>
    <r>
      <rPr>
        <sz val="10"/>
        <rFont val="Arial"/>
        <family val="0"/>
        <charset val="1"/>
      </rPr>
      <t xml:space="preserve">/Foxconn</t>
    </r>
  </si>
  <si>
    <r>
      <rPr>
        <b val="true"/>
        <sz val="10"/>
        <rFont val="Noto Sans CJK SC"/>
        <family val="2"/>
      </rPr>
      <t xml:space="preserve">总</t>
    </r>
    <r>
      <rPr>
        <b val="true"/>
        <sz val="10"/>
        <rFont val="Arial"/>
        <family val="0"/>
        <charset val="1"/>
      </rPr>
      <t xml:space="preserve">BOM</t>
    </r>
    <r>
      <rPr>
        <b val="true"/>
        <sz val="10"/>
        <rFont val="Noto Sans CJK SC"/>
        <family val="2"/>
      </rPr>
      <t xml:space="preserve">估算</t>
    </r>
  </si>
  <si>
    <t xml:space="preserve">$8–12.50</t>
  </si>
  <si>
    <t xml:space="preserve">$20–35</t>
  </si>
  <si>
    <t xml:space="preserve">$40–65</t>
  </si>
  <si>
    <r>
      <rPr>
        <i val="true"/>
        <sz val="9"/>
        <color rgb="FF666666"/>
        <rFont val="Noto Sans CJK SC"/>
        <family val="2"/>
      </rPr>
      <t xml:space="preserve">单位经济：</t>
    </r>
    <r>
      <rPr>
        <i val="true"/>
        <sz val="9"/>
        <color rgb="FF666666"/>
        <rFont val="Arial"/>
        <family val="0"/>
        <charset val="1"/>
      </rPr>
      <t xml:space="preserve">$30</t>
    </r>
    <r>
      <rPr>
        <i val="true"/>
        <sz val="9"/>
        <color rgb="FF666666"/>
        <rFont val="Noto Sans CJK SC"/>
        <family val="2"/>
      </rPr>
      <t xml:space="preserve">入门机 </t>
    </r>
    <r>
      <rPr>
        <i val="true"/>
        <sz val="9"/>
        <color rgb="FF666666"/>
        <rFont val="Arial"/>
        <family val="0"/>
        <charset val="1"/>
      </rPr>
      <t xml:space="preserve">BOM≈$12.5</t>
    </r>
    <r>
      <rPr>
        <i val="true"/>
        <sz val="9"/>
        <color rgb="FF666666"/>
        <rFont val="Noto Sans CJK SC"/>
        <family val="2"/>
      </rPr>
      <t xml:space="preserve">，零售倍率</t>
    </r>
    <r>
      <rPr>
        <i val="true"/>
        <sz val="9"/>
        <color rgb="FF666666"/>
        <rFont val="Arial"/>
        <family val="0"/>
        <charset val="1"/>
      </rPr>
      <t xml:space="preserve">~2.4×</t>
    </r>
    <r>
      <rPr>
        <i val="true"/>
        <sz val="9"/>
        <color rgb="FF666666"/>
        <rFont val="Noto Sans CJK SC"/>
        <family val="2"/>
      </rPr>
      <t xml:space="preserve">；中端净利率约</t>
    </r>
    <r>
      <rPr>
        <i val="true"/>
        <sz val="9"/>
        <color rgb="FF666666"/>
        <rFont val="Arial"/>
        <family val="0"/>
        <charset val="1"/>
      </rPr>
      <t xml:space="preserve">16%</t>
    </r>
    <r>
      <rPr>
        <i val="true"/>
        <sz val="9"/>
        <color rgb="FF666666"/>
        <rFont val="Noto Sans CJK SC"/>
        <family val="2"/>
      </rPr>
      <t xml:space="preserve">（</t>
    </r>
    <r>
      <rPr>
        <i val="true"/>
        <sz val="9"/>
        <color rgb="FF666666"/>
        <rFont val="Arial"/>
        <family val="0"/>
        <charset val="1"/>
      </rPr>
      <t xml:space="preserve">2024</t>
    </r>
    <r>
      <rPr>
        <i val="true"/>
        <sz val="9"/>
        <color rgb="FF666666"/>
        <rFont val="Noto Sans CJK SC"/>
        <family val="2"/>
      </rPr>
      <t xml:space="preserve">年从</t>
    </r>
    <r>
      <rPr>
        <i val="true"/>
        <sz val="9"/>
        <color rgb="FF666666"/>
        <rFont val="Arial"/>
        <family val="0"/>
        <charset val="1"/>
      </rPr>
      <t xml:space="preserve">22%</t>
    </r>
    <r>
      <rPr>
        <i val="true"/>
        <sz val="9"/>
        <color rgb="FF666666"/>
        <rFont val="Noto Sans CJK SC"/>
        <family val="2"/>
      </rPr>
      <t xml:space="preserve">降，价格战挤压）</t>
    </r>
  </si>
  <si>
    <r>
      <rPr>
        <b val="true"/>
        <sz val="13"/>
        <rFont val="Noto Sans CJK SC"/>
        <family val="2"/>
      </rPr>
      <t xml:space="preserve">全球 </t>
    </r>
    <r>
      <rPr>
        <b val="true"/>
        <sz val="13"/>
        <rFont val="Arial"/>
        <family val="0"/>
        <charset val="1"/>
      </rPr>
      <t xml:space="preserve">TWS </t>
    </r>
    <r>
      <rPr>
        <b val="true"/>
        <sz val="13"/>
        <rFont val="Noto Sans CJK SC"/>
        <family val="2"/>
      </rPr>
      <t xml:space="preserve">代表竞品对比（</t>
    </r>
    <r>
      <rPr>
        <b val="true"/>
        <sz val="13"/>
        <rFont val="Arial"/>
        <family val="0"/>
        <charset val="1"/>
      </rPr>
      <t xml:space="preserve">2024/2025</t>
    </r>
    <r>
      <rPr>
        <b val="true"/>
        <sz val="13"/>
        <rFont val="Noto Sans CJK SC"/>
        <family val="2"/>
      </rPr>
      <t xml:space="preserve">）</t>
    </r>
  </si>
  <si>
    <t xml:space="preserve">型号</t>
  </si>
  <si>
    <r>
      <rPr>
        <b val="true"/>
        <sz val="11"/>
        <color rgb="FFFFFFFF"/>
        <rFont val="Noto Sans CJK SC"/>
        <family val="2"/>
      </rPr>
      <t xml:space="preserve">价格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</si>
  <si>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形态</t>
  </si>
  <si>
    <t xml:space="preserve">ANC</t>
  </si>
  <si>
    <r>
      <rPr>
        <b val="true"/>
        <sz val="11"/>
        <color rgb="FFFFFFFF"/>
        <rFont val="Noto Sans CJK SC"/>
        <family val="2"/>
      </rPr>
      <t xml:space="preserve">续航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耳机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含壳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</si>
  <si>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核心卖点</t>
  </si>
  <si>
    <t xml:space="preserve">目标市场</t>
  </si>
  <si>
    <t xml:space="preserve">AirPods Pro 3</t>
  </si>
  <si>
    <t xml:space="preserve">苹果</t>
  </si>
  <si>
    <t xml:space="preserve">半入耳</t>
  </si>
  <si>
    <r>
      <rPr>
        <sz val="10"/>
        <rFont val="Arial"/>
        <family val="0"/>
        <charset val="1"/>
      </rPr>
      <t xml:space="preserve">H3</t>
    </r>
    <r>
      <rPr>
        <sz val="10"/>
        <rFont val="Noto Sans CJK SC"/>
        <family val="2"/>
      </rPr>
      <t xml:space="preserve">芯片，领先</t>
    </r>
  </si>
  <si>
    <t xml:space="preserve">6h/30h</t>
  </si>
  <si>
    <r>
      <rPr>
        <sz val="10"/>
        <rFont val="Arial"/>
        <family val="0"/>
        <charset val="1"/>
      </rPr>
      <t xml:space="preserve">iOS</t>
    </r>
    <r>
      <rPr>
        <sz val="10"/>
        <rFont val="Noto Sans CJK SC"/>
        <family val="2"/>
      </rPr>
      <t xml:space="preserve">生态无缝切换、</t>
    </r>
    <r>
      <rPr>
        <sz val="10"/>
        <rFont val="Arial"/>
        <family val="0"/>
        <charset val="1"/>
      </rPr>
      <t xml:space="preserve">H3</t>
    </r>
    <r>
      <rPr>
        <sz val="10"/>
        <rFont val="Noto Sans CJK SC"/>
        <family val="2"/>
      </rPr>
      <t xml:space="preserve">空间音频、助听功能</t>
    </r>
  </si>
  <si>
    <r>
      <rPr>
        <sz val="10"/>
        <rFont val="Noto Sans CJK SC"/>
        <family val="2"/>
      </rPr>
      <t xml:space="preserve">北美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欧洲</t>
    </r>
    <r>
      <rPr>
        <sz val="10"/>
        <rFont val="Arial"/>
        <family val="0"/>
        <charset val="1"/>
      </rPr>
      <t xml:space="preserve">iOS</t>
    </r>
    <r>
      <rPr>
        <sz val="10"/>
        <rFont val="Noto Sans CJK SC"/>
        <family val="2"/>
      </rPr>
      <t xml:space="preserve">用户</t>
    </r>
  </si>
  <si>
    <t xml:space="preserve">WF-1000XM6</t>
  </si>
  <si>
    <t xml:space="preserve">索尼</t>
  </si>
  <si>
    <t xml:space="preserve">入耳式</t>
  </si>
  <si>
    <t xml:space="preserve">顶级</t>
  </si>
  <si>
    <t xml:space="preserve">8h/24h</t>
  </si>
  <si>
    <r>
      <rPr>
        <sz val="10"/>
        <rFont val="Arial"/>
        <family val="0"/>
        <charset val="1"/>
      </rPr>
      <t xml:space="preserve">LDAC</t>
    </r>
    <r>
      <rPr>
        <sz val="10"/>
        <rFont val="Noto Sans CJK SC"/>
        <family val="2"/>
      </rPr>
      <t xml:space="preserve">无损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业界最佳</t>
    </r>
    <r>
      <rPr>
        <sz val="10"/>
        <rFont val="Arial"/>
        <family val="0"/>
        <charset val="1"/>
      </rPr>
      <t xml:space="preserve">ANC</t>
    </r>
    <r>
      <rPr>
        <sz val="10"/>
        <rFont val="Noto Sans CJK SC"/>
        <family val="2"/>
      </rPr>
      <t xml:space="preserve">，发烧首选</t>
    </r>
  </si>
  <si>
    <t xml:space="preserve">全球高端发烧友</t>
  </si>
  <si>
    <t xml:space="preserve">QC Ultra Earbuds G2</t>
  </si>
  <si>
    <t xml:space="preserve">Bose</t>
  </si>
  <si>
    <t xml:space="preserve">业界最强</t>
  </si>
  <si>
    <t xml:space="preserve">6h/24h</t>
  </si>
  <si>
    <t xml:space="preserve">绝对静音；商旅用户首选</t>
  </si>
  <si>
    <r>
      <rPr>
        <sz val="10"/>
        <rFont val="Noto Sans CJK SC"/>
        <family val="2"/>
      </rPr>
      <t xml:space="preserve">北美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欧洲商务</t>
    </r>
  </si>
  <si>
    <t xml:space="preserve">Galaxy Buds 4 Pro</t>
  </si>
  <si>
    <t xml:space="preserve">三星</t>
  </si>
  <si>
    <t xml:space="preserve">强</t>
  </si>
  <si>
    <r>
      <rPr>
        <sz val="10"/>
        <rFont val="Arial"/>
        <family val="0"/>
        <charset val="1"/>
      </rPr>
      <t xml:space="preserve">24-bit Hi-Fi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Galaxy</t>
    </r>
    <r>
      <rPr>
        <sz val="10"/>
        <rFont val="Noto Sans CJK SC"/>
        <family val="2"/>
      </rPr>
      <t xml:space="preserve">生态自动切换</t>
    </r>
  </si>
  <si>
    <t xml:space="preserve">三星手机用户</t>
  </si>
  <si>
    <t xml:space="preserve">Pixel Buds Pro 2</t>
  </si>
  <si>
    <t xml:space="preserve">谷歌</t>
  </si>
  <si>
    <t xml:space="preserve">8h/30h</t>
  </si>
  <si>
    <r>
      <rPr>
        <sz val="10"/>
        <rFont val="Arial"/>
        <family val="0"/>
        <charset val="1"/>
      </rPr>
      <t xml:space="preserve">Tensor A1</t>
    </r>
    <r>
      <rPr>
        <sz val="10"/>
        <rFont val="Noto Sans CJK SC"/>
        <family val="2"/>
      </rPr>
      <t xml:space="preserve">芯片、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降噪、</t>
    </r>
    <r>
      <rPr>
        <sz val="10"/>
        <rFont val="Arial"/>
        <family val="0"/>
        <charset val="1"/>
      </rPr>
      <t xml:space="preserve">Android Fast Pair</t>
    </r>
  </si>
  <si>
    <r>
      <rPr>
        <sz val="10"/>
        <rFont val="Arial"/>
        <family val="0"/>
        <charset val="1"/>
      </rPr>
      <t xml:space="preserve">Android</t>
    </r>
    <r>
      <rPr>
        <sz val="10"/>
        <rFont val="Noto Sans CJK SC"/>
        <family val="2"/>
      </rPr>
      <t xml:space="preserve">生态</t>
    </r>
  </si>
  <si>
    <t xml:space="preserve">Nothing Ear 2</t>
  </si>
  <si>
    <t xml:space="preserve">Nothing</t>
  </si>
  <si>
    <t xml:space="preserve">6.3h/22.5h</t>
  </si>
  <si>
    <r>
      <rPr>
        <sz val="10"/>
        <rFont val="Arial"/>
        <family val="0"/>
        <charset val="1"/>
      </rPr>
      <t xml:space="preserve">LHDC 5.0</t>
    </r>
    <r>
      <rPr>
        <sz val="10"/>
        <rFont val="Noto Sans CJK SC"/>
        <family val="2"/>
      </rPr>
      <t xml:space="preserve">高解析、透明设计、多设备配对</t>
    </r>
  </si>
  <si>
    <t xml:space="preserve">设计偏好用户</t>
  </si>
  <si>
    <t xml:space="preserve">EarFun Air Pro 4i</t>
  </si>
  <si>
    <t xml:space="preserve">EarFun</t>
  </si>
  <si>
    <r>
      <rPr>
        <sz val="10"/>
        <rFont val="Noto Sans CJK SC"/>
        <family val="2"/>
      </rPr>
      <t xml:space="preserve">强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接近</t>
    </r>
    <r>
      <rPr>
        <sz val="10"/>
        <rFont val="Arial"/>
        <family val="0"/>
        <charset val="1"/>
      </rPr>
      <t xml:space="preserve">AirPods Pro)</t>
    </r>
  </si>
  <si>
    <t xml:space="preserve">7.5h/28h</t>
  </si>
  <si>
    <r>
      <rPr>
        <sz val="10"/>
        <rFont val="Noto Sans CJK SC"/>
        <family val="2"/>
      </rPr>
      <t xml:space="preserve">高性价比</t>
    </r>
    <r>
      <rPr>
        <sz val="10"/>
        <rFont val="Arial"/>
        <family val="0"/>
        <charset val="1"/>
      </rPr>
      <t xml:space="preserve">ANC</t>
    </r>
    <r>
      <rPr>
        <sz val="10"/>
        <rFont val="Noto Sans CJK SC"/>
        <family val="2"/>
      </rPr>
      <t xml:space="preserve">颠覆中端定价</t>
    </r>
  </si>
  <si>
    <t xml:space="preserve">全球价格敏感市场</t>
  </si>
  <si>
    <t xml:space="preserve">Redmi Buds 8 Pro</t>
  </si>
  <si>
    <t xml:space="preserve">小米</t>
  </si>
  <si>
    <t xml:space="preserve">有</t>
  </si>
  <si>
    <r>
      <rPr>
        <sz val="10"/>
        <rFont val="Noto Sans CJK SC"/>
        <family val="2"/>
      </rPr>
      <t xml:space="preserve">极致性价比；印度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东南亚首选</t>
    </r>
  </si>
  <si>
    <t xml:space="preserve">亚太新兴市场</t>
  </si>
  <si>
    <t xml:space="preserve">OpenFit 2</t>
  </si>
  <si>
    <t xml:space="preserve">Shokz</t>
  </si>
  <si>
    <t xml:space="preserve">开放式</t>
  </si>
  <si>
    <t xml:space="preserve">无（非密封）</t>
  </si>
  <si>
    <t xml:space="preserve">7h/28h</t>
  </si>
  <si>
    <r>
      <rPr>
        <sz val="10"/>
        <rFont val="Noto Sans CJK SC"/>
        <family val="2"/>
      </rPr>
      <t xml:space="preserve">全天佩戴舒适；运动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健康场景</t>
    </r>
  </si>
  <si>
    <t xml:space="preserve">运动健身用户</t>
  </si>
  <si>
    <t xml:space="preserve">FreeBuds Open</t>
  </si>
  <si>
    <t xml:space="preserve">华为</t>
  </si>
  <si>
    <r>
      <rPr>
        <sz val="10"/>
        <rFont val="Noto Sans CJK SC"/>
        <family val="2"/>
      </rPr>
      <t xml:space="preserve">开放式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耳夹</t>
    </r>
    <r>
      <rPr>
        <sz val="10"/>
        <rFont val="Arial"/>
        <family val="0"/>
        <charset val="1"/>
      </rPr>
      <t xml:space="preserve">)</t>
    </r>
  </si>
  <si>
    <t xml:space="preserve">无</t>
  </si>
  <si>
    <t xml:space="preserve">5h/28h</t>
  </si>
  <si>
    <t xml:space="preserve">华为生态耳夹形态；国内爆款</t>
  </si>
  <si>
    <t xml:space="preserve">华为手机用户</t>
  </si>
  <si>
    <t xml:space="preserve">PowerBeats Pro 2</t>
  </si>
  <si>
    <t xml:space="preserve">Beats</t>
  </si>
  <si>
    <t xml:space="preserve">运动专用</t>
  </si>
  <si>
    <t xml:space="preserve">9h/36h</t>
  </si>
  <si>
    <r>
      <rPr>
        <sz val="10"/>
        <rFont val="Noto Sans CJK SC"/>
        <family val="2"/>
      </rPr>
      <t xml:space="preserve">心率监测、</t>
    </r>
    <r>
      <rPr>
        <sz val="10"/>
        <rFont val="Arial"/>
        <family val="0"/>
        <charset val="1"/>
      </rPr>
      <t xml:space="preserve">IPX5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Apple H2</t>
    </r>
    <r>
      <rPr>
        <sz val="10"/>
        <rFont val="Noto Sans CJK SC"/>
        <family val="2"/>
      </rPr>
      <t xml:space="preserve">；健身首选</t>
    </r>
  </si>
  <si>
    <t xml:space="preserve">北美运动用户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</si>
</sst>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  <charset val="1"/>
    </font>
    <font>
      <i val="true"/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34"/>
  </cols>
  <sheetData>
    <row r="1" customFormat="false" ht="38.25" hidden="false" customHeight="true" outlineLevel="0" collapsed="false">
      <c r="A1" s="2" t="s">
        <v>0</v>
      </c>
    </row>
    <row r="2" customFormat="false" ht="51.75" hidden="false" customHeight="true" outlineLevel="0" collapsed="false">
      <c r="A2" s="3" t="s">
        <v>1</v>
      </c>
    </row>
    <row r="4" customFormat="false" ht="16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6.25" hidden="false" customHeight="true" outlineLevel="0" collapsed="false">
      <c r="A5" s="5" t="s">
        <v>8</v>
      </c>
      <c r="B5" s="6" t="s">
        <v>9</v>
      </c>
      <c r="C5" s="6" t="s">
        <v>10</v>
      </c>
      <c r="D5" s="7" t="s">
        <v>11</v>
      </c>
      <c r="E5" s="8" t="s">
        <v>12</v>
      </c>
      <c r="F5" s="5" t="s">
        <v>13</v>
      </c>
    </row>
    <row r="6" customFormat="false" ht="26.25" hidden="false" customHeight="true" outlineLevel="0" collapsed="false">
      <c r="A6" s="5" t="s">
        <v>14</v>
      </c>
      <c r="B6" s="8" t="s">
        <v>15</v>
      </c>
      <c r="C6" s="8" t="s">
        <v>16</v>
      </c>
      <c r="D6" s="7" t="s">
        <v>17</v>
      </c>
      <c r="E6" s="8" t="s">
        <v>18</v>
      </c>
      <c r="F6" s="5" t="s">
        <v>19</v>
      </c>
    </row>
    <row r="7" customFormat="false" ht="15" hidden="false" customHeight="true" outlineLevel="0" collapsed="false">
      <c r="A7" s="5" t="s">
        <v>20</v>
      </c>
      <c r="B7" s="9" t="s">
        <v>21</v>
      </c>
      <c r="C7" s="10" t="s">
        <v>22</v>
      </c>
      <c r="D7" s="5" t="s">
        <v>23</v>
      </c>
      <c r="E7" s="8" t="s">
        <v>24</v>
      </c>
      <c r="F7" s="5" t="s">
        <v>25</v>
      </c>
    </row>
    <row r="8" customFormat="false" ht="15" hidden="false" customHeight="true" outlineLevel="0" collapsed="false">
      <c r="A8" s="5" t="s">
        <v>26</v>
      </c>
      <c r="B8" s="10" t="s">
        <v>27</v>
      </c>
      <c r="C8" s="9" t="s">
        <v>28</v>
      </c>
      <c r="D8" s="5" t="s">
        <v>29</v>
      </c>
      <c r="E8" s="6" t="s">
        <v>22</v>
      </c>
      <c r="F8" s="5" t="s">
        <v>30</v>
      </c>
    </row>
    <row r="9" customFormat="false" ht="23.25" hidden="false" customHeight="true" outlineLevel="0" collapsed="false">
      <c r="A9" s="5" t="s">
        <v>31</v>
      </c>
      <c r="B9" s="8" t="s">
        <v>32</v>
      </c>
      <c r="C9" s="6" t="s">
        <v>33</v>
      </c>
      <c r="D9" s="7" t="s">
        <v>34</v>
      </c>
      <c r="E9" s="8" t="s">
        <v>35</v>
      </c>
      <c r="F9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46"/>
  </cols>
  <sheetData>
    <row r="1" customFormat="false" ht="113.25" hidden="false" customHeight="true" outlineLevel="0" collapsed="false">
      <c r="A1" s="2" t="s">
        <v>37</v>
      </c>
    </row>
    <row r="2" customFormat="false" ht="77.25" hidden="false" customHeight="true" outlineLevel="0" collapsed="false">
      <c r="A2" s="3" t="s">
        <v>38</v>
      </c>
    </row>
    <row r="4" customFormat="false" ht="32.25" hidden="false" customHeight="true" outlineLevel="0" collapsed="false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</row>
    <row r="5" customFormat="false" ht="29.25" hidden="false" customHeight="true" outlineLevel="0" collapsed="false">
      <c r="A5" s="5" t="s">
        <v>46</v>
      </c>
      <c r="B5" s="10" t="s">
        <v>47</v>
      </c>
      <c r="C5" s="10" t="s">
        <v>48</v>
      </c>
      <c r="D5" s="10" t="s">
        <v>49</v>
      </c>
      <c r="E5" s="10" t="s">
        <v>50</v>
      </c>
      <c r="F5" s="9" t="s">
        <v>51</v>
      </c>
      <c r="G5" s="5" t="s">
        <v>52</v>
      </c>
    </row>
    <row r="6" customFormat="false" ht="29.25" hidden="false" customHeight="true" outlineLevel="0" collapsed="false">
      <c r="A6" s="5" t="s">
        <v>53</v>
      </c>
      <c r="B6" s="10" t="s">
        <v>54</v>
      </c>
      <c r="C6" s="10" t="s">
        <v>55</v>
      </c>
      <c r="D6" s="10" t="s">
        <v>56</v>
      </c>
      <c r="E6" s="10" t="s">
        <v>57</v>
      </c>
      <c r="F6" s="9" t="s">
        <v>35</v>
      </c>
      <c r="G6" s="7" t="s">
        <v>58</v>
      </c>
    </row>
    <row r="7" customFormat="false" ht="29.25" hidden="false" customHeight="true" outlineLevel="0" collapsed="false">
      <c r="A7" s="5" t="s">
        <v>59</v>
      </c>
      <c r="B7" s="10" t="s">
        <v>60</v>
      </c>
      <c r="C7" s="10" t="s">
        <v>61</v>
      </c>
      <c r="D7" s="10" t="s">
        <v>62</v>
      </c>
      <c r="E7" s="10" t="s">
        <v>63</v>
      </c>
      <c r="F7" s="9" t="s">
        <v>35</v>
      </c>
      <c r="G7" s="5" t="s">
        <v>64</v>
      </c>
    </row>
    <row r="8" customFormat="false" ht="29.25" hidden="false" customHeight="true" outlineLevel="0" collapsed="false">
      <c r="A8" s="5" t="s">
        <v>65</v>
      </c>
      <c r="B8" s="10" t="s">
        <v>66</v>
      </c>
      <c r="C8" s="10" t="s">
        <v>67</v>
      </c>
      <c r="D8" s="10" t="s">
        <v>68</v>
      </c>
      <c r="E8" s="10" t="s">
        <v>69</v>
      </c>
      <c r="F8" s="9" t="s">
        <v>70</v>
      </c>
      <c r="G8" s="5" t="s">
        <v>71</v>
      </c>
    </row>
    <row r="9" customFormat="false" ht="15" hidden="false" customHeight="true" outlineLevel="0" collapsed="false">
      <c r="A9" s="11" t="s">
        <v>72</v>
      </c>
      <c r="B9" s="12" t="s">
        <v>73</v>
      </c>
      <c r="C9" s="12" t="s">
        <v>22</v>
      </c>
      <c r="D9" s="12" t="s">
        <v>73</v>
      </c>
      <c r="E9" s="12" t="s">
        <v>22</v>
      </c>
      <c r="F9" s="12" t="s">
        <v>22</v>
      </c>
      <c r="G9" s="1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18"/>
    <col collapsed="false" customWidth="true" hidden="false" outlineLevel="0" max="6" min="6" style="1" width="10"/>
  </cols>
  <sheetData>
    <row r="1" customFormat="false" ht="57" hidden="false" customHeight="true" outlineLevel="0" collapsed="false">
      <c r="A1" s="2" t="s">
        <v>75</v>
      </c>
    </row>
    <row r="3" customFormat="false" ht="16.5" hidden="false" customHeight="true" outlineLevel="0" collapsed="false">
      <c r="A3" s="4" t="s">
        <v>76</v>
      </c>
      <c r="B3" s="4" t="s">
        <v>77</v>
      </c>
      <c r="C3" s="4" t="s">
        <v>78</v>
      </c>
      <c r="D3" s="4" t="s">
        <v>79</v>
      </c>
      <c r="E3" s="4" t="s">
        <v>80</v>
      </c>
      <c r="F3" s="4" t="s">
        <v>6</v>
      </c>
    </row>
    <row r="4" customFormat="false" ht="15" hidden="false" customHeight="true" outlineLevel="0" collapsed="false">
      <c r="A4" s="5" t="s">
        <v>81</v>
      </c>
      <c r="B4" s="8" t="n">
        <v>7600</v>
      </c>
      <c r="C4" s="6" t="s">
        <v>82</v>
      </c>
      <c r="D4" s="6" t="s">
        <v>22</v>
      </c>
      <c r="E4" s="7" t="s">
        <v>83</v>
      </c>
      <c r="F4" s="8" t="s">
        <v>12</v>
      </c>
    </row>
    <row r="5" customFormat="false" ht="15" hidden="false" customHeight="true" outlineLevel="0" collapsed="false">
      <c r="A5" s="5" t="s">
        <v>84</v>
      </c>
      <c r="B5" s="8" t="n">
        <v>2800</v>
      </c>
      <c r="C5" s="6" t="s">
        <v>85</v>
      </c>
      <c r="D5" s="6" t="s">
        <v>86</v>
      </c>
      <c r="E5" s="7" t="s">
        <v>83</v>
      </c>
      <c r="F5" s="8" t="s">
        <v>12</v>
      </c>
    </row>
    <row r="6" customFormat="false" ht="15" hidden="false" customHeight="true" outlineLevel="0" collapsed="false">
      <c r="A6" s="5" t="s">
        <v>87</v>
      </c>
      <c r="B6" s="8" t="n">
        <v>2600</v>
      </c>
      <c r="C6" s="6" t="s">
        <v>88</v>
      </c>
      <c r="D6" s="6" t="s">
        <v>89</v>
      </c>
      <c r="E6" s="7" t="s">
        <v>83</v>
      </c>
      <c r="F6" s="8" t="s">
        <v>12</v>
      </c>
    </row>
    <row r="7" customFormat="false" ht="15" hidden="false" customHeight="true" outlineLevel="0" collapsed="false">
      <c r="A7" s="7" t="s">
        <v>90</v>
      </c>
      <c r="B7" s="8" t="n">
        <v>2000</v>
      </c>
      <c r="C7" s="6" t="s">
        <v>91</v>
      </c>
      <c r="D7" s="6" t="s">
        <v>92</v>
      </c>
      <c r="E7" s="7" t="s">
        <v>83</v>
      </c>
      <c r="F7" s="8" t="s">
        <v>12</v>
      </c>
    </row>
    <row r="8" customFormat="false" ht="15" hidden="false" customHeight="true" outlineLevel="0" collapsed="false">
      <c r="A8" s="5" t="s">
        <v>93</v>
      </c>
      <c r="B8" s="8" t="n">
        <v>1500</v>
      </c>
      <c r="C8" s="6" t="s">
        <v>94</v>
      </c>
      <c r="D8" s="6" t="s">
        <v>95</v>
      </c>
      <c r="E8" s="7" t="s">
        <v>83</v>
      </c>
      <c r="F8" s="8" t="s">
        <v>12</v>
      </c>
    </row>
    <row r="9" customFormat="false" ht="15" hidden="false" customHeight="true" outlineLevel="0" collapsed="false">
      <c r="A9" s="5" t="s">
        <v>96</v>
      </c>
      <c r="B9" s="8"/>
      <c r="C9" s="10" t="s">
        <v>97</v>
      </c>
      <c r="D9" s="6" t="s">
        <v>22</v>
      </c>
      <c r="E9" s="13" t="s">
        <v>98</v>
      </c>
      <c r="F9" s="8" t="s">
        <v>35</v>
      </c>
    </row>
    <row r="10" customFormat="false" ht="15" hidden="false" customHeight="true" outlineLevel="0" collapsed="false">
      <c r="A10" s="12" t="s">
        <v>99</v>
      </c>
      <c r="B10" s="12" t="n">
        <f aca="false">SUM(B4:B8)</f>
        <v>16500</v>
      </c>
      <c r="C10" s="14" t="n">
        <f aca="false">B10/33000</f>
        <v>0.5</v>
      </c>
    </row>
    <row r="11" customFormat="false" ht="39" hidden="false" customHeight="true" outlineLevel="0" collapsed="false">
      <c r="A11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6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68.75" hidden="false" customHeight="true" outlineLevel="0" collapsed="false">
      <c r="A1" s="2" t="s">
        <v>101</v>
      </c>
    </row>
    <row r="3" customFormat="false" ht="32.25" hidden="false" customHeight="true" outlineLevel="0" collapsed="false">
      <c r="A3" s="4" t="s">
        <v>102</v>
      </c>
      <c r="B3" s="4" t="s">
        <v>103</v>
      </c>
      <c r="C3" s="15" t="s">
        <v>104</v>
      </c>
      <c r="D3" s="15" t="s">
        <v>105</v>
      </c>
      <c r="E3" s="4" t="s">
        <v>106</v>
      </c>
      <c r="F3" s="4" t="s">
        <v>107</v>
      </c>
      <c r="G3" s="4" t="s">
        <v>108</v>
      </c>
    </row>
    <row r="4" customFormat="false" ht="72" hidden="false" customHeight="true" outlineLevel="0" collapsed="false">
      <c r="A4" s="5" t="s">
        <v>109</v>
      </c>
      <c r="B4" s="7" t="s">
        <v>110</v>
      </c>
      <c r="C4" s="6" t="s">
        <v>111</v>
      </c>
      <c r="D4" s="8" t="s">
        <v>112</v>
      </c>
      <c r="E4" s="6" t="s">
        <v>113</v>
      </c>
      <c r="F4" s="5" t="s">
        <v>114</v>
      </c>
      <c r="G4" s="5" t="s">
        <v>115</v>
      </c>
    </row>
    <row r="5" customFormat="false" ht="72" hidden="false" customHeight="true" outlineLevel="0" collapsed="false">
      <c r="A5" s="5" t="s">
        <v>116</v>
      </c>
      <c r="B5" s="7" t="s">
        <v>110</v>
      </c>
      <c r="C5" s="8" t="s">
        <v>117</v>
      </c>
      <c r="D5" s="6" t="s">
        <v>118</v>
      </c>
      <c r="E5" s="6" t="s">
        <v>119</v>
      </c>
      <c r="F5" s="5" t="s">
        <v>120</v>
      </c>
      <c r="G5" s="5" t="s">
        <v>121</v>
      </c>
    </row>
    <row r="6" customFormat="false" ht="83.25" hidden="false" customHeight="true" outlineLevel="0" collapsed="false">
      <c r="A6" s="5" t="s">
        <v>122</v>
      </c>
      <c r="B6" s="5" t="s">
        <v>123</v>
      </c>
      <c r="C6" s="6" t="s">
        <v>124</v>
      </c>
      <c r="D6" s="8" t="s">
        <v>125</v>
      </c>
      <c r="E6" s="16" t="n">
        <f aca="false">100%</f>
        <v>1</v>
      </c>
      <c r="F6" s="7" t="s">
        <v>22</v>
      </c>
      <c r="G6" s="5" t="s">
        <v>126</v>
      </c>
    </row>
    <row r="7" customFormat="false" ht="69" hidden="false" customHeight="true" outlineLevel="0" collapsed="false">
      <c r="A7" s="5" t="s">
        <v>127</v>
      </c>
      <c r="B7" s="7" t="s">
        <v>110</v>
      </c>
      <c r="C7" s="8" t="s">
        <v>128</v>
      </c>
      <c r="D7" s="8" t="s">
        <v>129</v>
      </c>
      <c r="E7" s="16" t="n">
        <f aca="false">100%</f>
        <v>1</v>
      </c>
      <c r="F7" s="7" t="s">
        <v>22</v>
      </c>
      <c r="G7" s="5" t="s">
        <v>130</v>
      </c>
    </row>
    <row r="8" customFormat="false" ht="57.75" hidden="false" customHeight="true" outlineLevel="0" collapsed="false">
      <c r="A8" s="5" t="s">
        <v>131</v>
      </c>
      <c r="B8" s="5" t="s">
        <v>132</v>
      </c>
      <c r="C8" s="8" t="s">
        <v>133</v>
      </c>
      <c r="D8" s="8" t="s">
        <v>134</v>
      </c>
      <c r="E8" s="8" t="s">
        <v>135</v>
      </c>
      <c r="F8" s="5" t="s">
        <v>136</v>
      </c>
      <c r="G8" s="5" t="s">
        <v>137</v>
      </c>
    </row>
    <row r="11" customFormat="false" ht="327.75" hidden="false" customHeight="true" outlineLevel="0" collapsed="false">
      <c r="A11" s="2" t="s">
        <v>138</v>
      </c>
    </row>
    <row r="12" customFormat="false" ht="16.5" hidden="false" customHeight="true" outlineLevel="0" collapsed="false">
      <c r="A12" s="15" t="s">
        <v>139</v>
      </c>
      <c r="B12" s="4" t="s">
        <v>80</v>
      </c>
      <c r="C12" s="4" t="s">
        <v>140</v>
      </c>
      <c r="D12" s="15" t="s">
        <v>141</v>
      </c>
    </row>
    <row r="13" customFormat="false" ht="23.25" hidden="false" customHeight="true" outlineLevel="0" collapsed="false">
      <c r="A13" s="8" t="n">
        <v>1</v>
      </c>
      <c r="B13" s="7" t="s">
        <v>142</v>
      </c>
      <c r="C13" s="7" t="s">
        <v>143</v>
      </c>
      <c r="D13" s="7" t="s">
        <v>144</v>
      </c>
    </row>
    <row r="14" customFormat="false" ht="29.25" hidden="false" customHeight="true" outlineLevel="0" collapsed="false">
      <c r="A14" s="8" t="n">
        <v>2</v>
      </c>
      <c r="B14" s="7" t="s">
        <v>145</v>
      </c>
      <c r="C14" s="7" t="s">
        <v>146</v>
      </c>
      <c r="D14" s="7" t="s">
        <v>147</v>
      </c>
    </row>
    <row r="15" customFormat="false" ht="23.25" hidden="false" customHeight="true" outlineLevel="0" collapsed="false">
      <c r="A15" s="8" t="n">
        <v>3</v>
      </c>
      <c r="B15" s="7" t="s">
        <v>148</v>
      </c>
      <c r="C15" s="7" t="s">
        <v>149</v>
      </c>
      <c r="D15" s="7" t="s">
        <v>150</v>
      </c>
    </row>
    <row r="16" customFormat="false" ht="15" hidden="false" customHeight="true" outlineLevel="0" collapsed="false">
      <c r="A16" s="8" t="n">
        <v>4</v>
      </c>
      <c r="B16" s="5" t="s">
        <v>151</v>
      </c>
      <c r="C16" s="5" t="s">
        <v>152</v>
      </c>
      <c r="D16" s="7" t="s">
        <v>153</v>
      </c>
    </row>
    <row r="17" customFormat="false" ht="26.25" hidden="false" customHeight="true" outlineLevel="0" collapsed="false">
      <c r="A17" s="8" t="n">
        <v>5</v>
      </c>
      <c r="B17" s="7" t="s">
        <v>154</v>
      </c>
      <c r="C17" s="5" t="s">
        <v>155</v>
      </c>
      <c r="D17" s="7" t="s">
        <v>156</v>
      </c>
    </row>
    <row r="18" customFormat="false" ht="23.25" hidden="false" customHeight="true" outlineLevel="0" collapsed="false">
      <c r="A18" s="8" t="n">
        <v>6</v>
      </c>
      <c r="B18" s="7" t="s">
        <v>157</v>
      </c>
      <c r="C18" s="5" t="s">
        <v>158</v>
      </c>
      <c r="D18" s="7" t="s">
        <v>159</v>
      </c>
    </row>
    <row r="19" customFormat="false" ht="23.25" hidden="false" customHeight="true" outlineLevel="0" collapsed="false">
      <c r="A19" s="8" t="n">
        <v>7</v>
      </c>
      <c r="B19" s="7" t="s">
        <v>160</v>
      </c>
      <c r="C19" s="7" t="s">
        <v>161</v>
      </c>
      <c r="D19" s="7" t="s">
        <v>162</v>
      </c>
    </row>
    <row r="20" customFormat="false" ht="23.25" hidden="false" customHeight="true" outlineLevel="0" collapsed="false">
      <c r="A20" s="8" t="n">
        <v>8</v>
      </c>
      <c r="B20" s="7" t="s">
        <v>163</v>
      </c>
      <c r="C20" s="7" t="s">
        <v>164</v>
      </c>
      <c r="D20" s="7" t="s">
        <v>165</v>
      </c>
    </row>
    <row r="21" customFormat="false" ht="23.25" hidden="false" customHeight="true" outlineLevel="0" collapsed="false">
      <c r="A21" s="8" t="n">
        <v>9</v>
      </c>
      <c r="B21" s="7" t="s">
        <v>166</v>
      </c>
      <c r="C21" s="7" t="s">
        <v>167</v>
      </c>
      <c r="D21" s="7" t="s">
        <v>168</v>
      </c>
    </row>
    <row r="22" customFormat="false" ht="15" hidden="false" customHeight="true" outlineLevel="0" collapsed="false">
      <c r="A22" s="8" t="n">
        <v>10</v>
      </c>
      <c r="B22" s="7" t="s">
        <v>169</v>
      </c>
      <c r="C22" s="7" t="s">
        <v>170</v>
      </c>
      <c r="D22" s="7" t="s">
        <v>171</v>
      </c>
    </row>
    <row r="23" customFormat="false" ht="15" hidden="false" customHeight="true" outlineLevel="0" collapsed="false">
      <c r="A23" s="8" t="n">
        <v>11</v>
      </c>
      <c r="B23" s="7" t="s">
        <v>172</v>
      </c>
      <c r="C23" s="7" t="s">
        <v>173</v>
      </c>
      <c r="D23" s="7" t="s">
        <v>174</v>
      </c>
    </row>
    <row r="24" customFormat="false" ht="15" hidden="false" customHeight="true" outlineLevel="0" collapsed="false">
      <c r="A24" s="8" t="n">
        <v>12</v>
      </c>
      <c r="B24" s="7" t="s">
        <v>175</v>
      </c>
      <c r="C24" s="7" t="s">
        <v>176</v>
      </c>
      <c r="D24" s="7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57.45" hidden="false" customHeight="false" outlineLevel="0" collapsed="false">
      <c r="A1" s="17" t="s">
        <v>178</v>
      </c>
    </row>
    <row r="2" customFormat="false" ht="62.65" hidden="false" customHeight="false" outlineLevel="0" collapsed="false">
      <c r="A2" s="18" t="s">
        <v>179</v>
      </c>
    </row>
    <row r="4" customFormat="false" ht="29.85" hidden="false" customHeight="false" outlineLevel="0" collapsed="false">
      <c r="A4" s="19" t="s">
        <v>180</v>
      </c>
      <c r="B4" s="15" t="s">
        <v>181</v>
      </c>
      <c r="C4" s="15" t="s">
        <v>182</v>
      </c>
      <c r="D4" s="15" t="s">
        <v>183</v>
      </c>
      <c r="E4" s="19" t="s">
        <v>184</v>
      </c>
      <c r="F4" s="19" t="s">
        <v>185</v>
      </c>
    </row>
    <row r="5" customFormat="false" ht="29.85" hidden="false" customHeight="false" outlineLevel="0" collapsed="false">
      <c r="A5" s="20" t="s">
        <v>186</v>
      </c>
      <c r="B5" s="10" t="s">
        <v>187</v>
      </c>
      <c r="C5" s="10" t="s">
        <v>188</v>
      </c>
      <c r="D5" s="10" t="s">
        <v>189</v>
      </c>
      <c r="E5" s="20" t="s">
        <v>190</v>
      </c>
      <c r="F5" s="7" t="s">
        <v>191</v>
      </c>
    </row>
    <row r="6" customFormat="false" ht="15" hidden="false" customHeight="false" outlineLevel="0" collapsed="false">
      <c r="A6" s="7" t="s">
        <v>192</v>
      </c>
      <c r="B6" s="10" t="s">
        <v>193</v>
      </c>
      <c r="C6" s="10" t="s">
        <v>187</v>
      </c>
      <c r="D6" s="10" t="s">
        <v>188</v>
      </c>
      <c r="E6" s="20" t="s">
        <v>194</v>
      </c>
      <c r="F6" s="7" t="s">
        <v>195</v>
      </c>
    </row>
    <row r="7" customFormat="false" ht="15" hidden="false" customHeight="false" outlineLevel="0" collapsed="false">
      <c r="A7" s="20" t="s">
        <v>196</v>
      </c>
      <c r="B7" s="10" t="s">
        <v>193</v>
      </c>
      <c r="C7" s="10" t="s">
        <v>197</v>
      </c>
      <c r="D7" s="10" t="s">
        <v>198</v>
      </c>
      <c r="E7" s="20" t="s">
        <v>199</v>
      </c>
      <c r="F7" s="20" t="s">
        <v>200</v>
      </c>
    </row>
    <row r="8" customFormat="false" ht="15" hidden="false" customHeight="false" outlineLevel="0" collapsed="false">
      <c r="A8" s="20" t="s">
        <v>201</v>
      </c>
      <c r="B8" s="10" t="s">
        <v>197</v>
      </c>
      <c r="C8" s="10" t="s">
        <v>202</v>
      </c>
      <c r="D8" s="10" t="s">
        <v>203</v>
      </c>
      <c r="E8" s="20" t="s">
        <v>199</v>
      </c>
      <c r="F8" s="7" t="s">
        <v>204</v>
      </c>
    </row>
    <row r="9" customFormat="false" ht="15" hidden="false" customHeight="false" outlineLevel="0" collapsed="false">
      <c r="A9" s="7" t="s">
        <v>205</v>
      </c>
      <c r="B9" s="10" t="s">
        <v>206</v>
      </c>
      <c r="C9" s="10" t="s">
        <v>207</v>
      </c>
      <c r="D9" s="10" t="s">
        <v>189</v>
      </c>
      <c r="E9" s="20" t="s">
        <v>199</v>
      </c>
      <c r="F9" s="20" t="s">
        <v>208</v>
      </c>
    </row>
    <row r="10" customFormat="false" ht="15" hidden="false" customHeight="false" outlineLevel="0" collapsed="false">
      <c r="A10" s="20" t="s">
        <v>209</v>
      </c>
      <c r="B10" s="10" t="s">
        <v>197</v>
      </c>
      <c r="C10" s="10" t="s">
        <v>206</v>
      </c>
      <c r="D10" s="10" t="s">
        <v>210</v>
      </c>
      <c r="E10" s="20" t="s">
        <v>211</v>
      </c>
      <c r="F10" s="20" t="s">
        <v>212</v>
      </c>
    </row>
    <row r="11" customFormat="false" ht="15" hidden="false" customHeight="false" outlineLevel="0" collapsed="false">
      <c r="A11" s="21" t="s">
        <v>213</v>
      </c>
      <c r="B11" s="22" t="s">
        <v>214</v>
      </c>
      <c r="C11" s="22" t="s">
        <v>215</v>
      </c>
      <c r="D11" s="22" t="s">
        <v>216</v>
      </c>
    </row>
    <row r="13" customFormat="false" ht="64.9" hidden="false" customHeight="false" outlineLevel="0" collapsed="false">
      <c r="A13" s="18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20"/>
  </cols>
  <sheetData>
    <row r="1" customFormat="false" ht="38.8" hidden="false" customHeight="false" outlineLevel="0" collapsed="false">
      <c r="A1" s="17" t="s">
        <v>218</v>
      </c>
    </row>
    <row r="3" customFormat="false" ht="32.8" hidden="false" customHeight="false" outlineLevel="0" collapsed="false">
      <c r="A3" s="19" t="s">
        <v>219</v>
      </c>
      <c r="B3" s="19" t="s">
        <v>76</v>
      </c>
      <c r="C3" s="19" t="s">
        <v>220</v>
      </c>
      <c r="D3" s="19" t="s">
        <v>221</v>
      </c>
      <c r="E3" s="15" t="s">
        <v>222</v>
      </c>
      <c r="F3" s="19" t="s">
        <v>223</v>
      </c>
      <c r="G3" s="19" t="s">
        <v>224</v>
      </c>
      <c r="H3" s="19" t="s">
        <v>225</v>
      </c>
    </row>
    <row r="4" customFormat="false" ht="15" hidden="false" customHeight="false" outlineLevel="0" collapsed="false">
      <c r="A4" s="7" t="s">
        <v>226</v>
      </c>
      <c r="B4" s="20" t="s">
        <v>227</v>
      </c>
      <c r="C4" s="6" t="n">
        <v>249</v>
      </c>
      <c r="D4" s="20" t="s">
        <v>228</v>
      </c>
      <c r="E4" s="6" t="s">
        <v>229</v>
      </c>
      <c r="F4" s="6" t="s">
        <v>230</v>
      </c>
      <c r="G4" s="7" t="s">
        <v>231</v>
      </c>
      <c r="H4" s="20" t="s">
        <v>232</v>
      </c>
    </row>
    <row r="5" customFormat="false" ht="15" hidden="false" customHeight="false" outlineLevel="0" collapsed="false">
      <c r="A5" s="7" t="s">
        <v>233</v>
      </c>
      <c r="B5" s="20" t="s">
        <v>234</v>
      </c>
      <c r="C5" s="6" t="n">
        <v>299</v>
      </c>
      <c r="D5" s="20" t="s">
        <v>235</v>
      </c>
      <c r="E5" s="23" t="s">
        <v>236</v>
      </c>
      <c r="F5" s="6" t="s">
        <v>237</v>
      </c>
      <c r="G5" s="7" t="s">
        <v>238</v>
      </c>
      <c r="H5" s="20" t="s">
        <v>239</v>
      </c>
    </row>
    <row r="6" customFormat="false" ht="15" hidden="false" customHeight="false" outlineLevel="0" collapsed="false">
      <c r="A6" s="7" t="s">
        <v>240</v>
      </c>
      <c r="B6" s="7" t="s">
        <v>241</v>
      </c>
      <c r="C6" s="6" t="n">
        <v>299</v>
      </c>
      <c r="D6" s="20" t="s">
        <v>235</v>
      </c>
      <c r="E6" s="23" t="s">
        <v>242</v>
      </c>
      <c r="F6" s="6" t="s">
        <v>243</v>
      </c>
      <c r="G6" s="20" t="s">
        <v>244</v>
      </c>
      <c r="H6" s="20" t="s">
        <v>245</v>
      </c>
    </row>
    <row r="7" customFormat="false" ht="15" hidden="false" customHeight="false" outlineLevel="0" collapsed="false">
      <c r="A7" s="7" t="s">
        <v>246</v>
      </c>
      <c r="B7" s="20" t="s">
        <v>247</v>
      </c>
      <c r="C7" s="6" t="n">
        <v>249</v>
      </c>
      <c r="D7" s="20" t="s">
        <v>235</v>
      </c>
      <c r="E7" s="23" t="s">
        <v>248</v>
      </c>
      <c r="F7" s="6" t="s">
        <v>230</v>
      </c>
      <c r="G7" s="7" t="s">
        <v>249</v>
      </c>
      <c r="H7" s="20" t="s">
        <v>250</v>
      </c>
    </row>
    <row r="8" customFormat="false" ht="15" hidden="false" customHeight="false" outlineLevel="0" collapsed="false">
      <c r="A8" s="7" t="s">
        <v>251</v>
      </c>
      <c r="B8" s="20" t="s">
        <v>252</v>
      </c>
      <c r="C8" s="6" t="n">
        <v>199</v>
      </c>
      <c r="D8" s="20" t="s">
        <v>235</v>
      </c>
      <c r="E8" s="23" t="s">
        <v>248</v>
      </c>
      <c r="F8" s="6" t="s">
        <v>253</v>
      </c>
      <c r="G8" s="7" t="s">
        <v>254</v>
      </c>
      <c r="H8" s="7" t="s">
        <v>255</v>
      </c>
    </row>
    <row r="9" customFormat="false" ht="15" hidden="false" customHeight="false" outlineLevel="0" collapsed="false">
      <c r="A9" s="7" t="s">
        <v>256</v>
      </c>
      <c r="B9" s="7" t="s">
        <v>257</v>
      </c>
      <c r="C9" s="6" t="n">
        <v>149</v>
      </c>
      <c r="D9" s="20" t="s">
        <v>228</v>
      </c>
      <c r="E9" s="23" t="s">
        <v>35</v>
      </c>
      <c r="F9" s="6" t="s">
        <v>258</v>
      </c>
      <c r="G9" s="7" t="s">
        <v>259</v>
      </c>
      <c r="H9" s="20" t="s">
        <v>260</v>
      </c>
    </row>
    <row r="10" customFormat="false" ht="15" hidden="false" customHeight="false" outlineLevel="0" collapsed="false">
      <c r="A10" s="7" t="s">
        <v>261</v>
      </c>
      <c r="B10" s="7" t="s">
        <v>262</v>
      </c>
      <c r="C10" s="6" t="n">
        <v>62</v>
      </c>
      <c r="D10" s="20" t="s">
        <v>235</v>
      </c>
      <c r="E10" s="23" t="s">
        <v>263</v>
      </c>
      <c r="F10" s="6" t="s">
        <v>264</v>
      </c>
      <c r="G10" s="20" t="s">
        <v>265</v>
      </c>
      <c r="H10" s="20" t="s">
        <v>266</v>
      </c>
    </row>
    <row r="11" customFormat="false" ht="15" hidden="false" customHeight="false" outlineLevel="0" collapsed="false">
      <c r="A11" s="7" t="s">
        <v>267</v>
      </c>
      <c r="B11" s="20" t="s">
        <v>268</v>
      </c>
      <c r="C11" s="6" t="n">
        <v>45</v>
      </c>
      <c r="D11" s="20" t="s">
        <v>235</v>
      </c>
      <c r="E11" s="23" t="s">
        <v>269</v>
      </c>
      <c r="F11" s="6" t="s">
        <v>230</v>
      </c>
      <c r="G11" s="20" t="s">
        <v>270</v>
      </c>
      <c r="H11" s="20" t="s">
        <v>271</v>
      </c>
    </row>
    <row r="12" customFormat="false" ht="15" hidden="false" customHeight="false" outlineLevel="0" collapsed="false">
      <c r="A12" s="7" t="s">
        <v>272</v>
      </c>
      <c r="B12" s="7" t="s">
        <v>273</v>
      </c>
      <c r="C12" s="6" t="n">
        <v>129</v>
      </c>
      <c r="D12" s="20" t="s">
        <v>274</v>
      </c>
      <c r="E12" s="23" t="s">
        <v>275</v>
      </c>
      <c r="F12" s="6" t="s">
        <v>276</v>
      </c>
      <c r="G12" s="20" t="s">
        <v>277</v>
      </c>
      <c r="H12" s="20" t="s">
        <v>278</v>
      </c>
    </row>
    <row r="13" customFormat="false" ht="29.85" hidden="false" customHeight="false" outlineLevel="0" collapsed="false">
      <c r="A13" s="7" t="s">
        <v>279</v>
      </c>
      <c r="B13" s="20" t="s">
        <v>280</v>
      </c>
      <c r="C13" s="6" t="n">
        <v>149</v>
      </c>
      <c r="D13" s="20" t="s">
        <v>281</v>
      </c>
      <c r="E13" s="23" t="s">
        <v>282</v>
      </c>
      <c r="F13" s="6" t="s">
        <v>283</v>
      </c>
      <c r="G13" s="20" t="s">
        <v>284</v>
      </c>
      <c r="H13" s="20" t="s">
        <v>285</v>
      </c>
    </row>
    <row r="14" customFormat="false" ht="15" hidden="false" customHeight="false" outlineLevel="0" collapsed="false">
      <c r="A14" s="7" t="s">
        <v>286</v>
      </c>
      <c r="B14" s="7" t="s">
        <v>287</v>
      </c>
      <c r="C14" s="6" t="n">
        <v>249</v>
      </c>
      <c r="D14" s="20" t="s">
        <v>288</v>
      </c>
      <c r="E14" s="23" t="s">
        <v>269</v>
      </c>
      <c r="F14" s="6" t="s">
        <v>289</v>
      </c>
      <c r="G14" s="20" t="s">
        <v>290</v>
      </c>
      <c r="H14" s="20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2026-06-04T04:03:20Z</dcterms:created>
  <dc:creator>openpyxl</dc:creator>
  <dc:description/>
  <dc:language>en-US</dc:language>
  <cp:lastModifiedBy/>
  <dcterms:modified xsi:type="dcterms:W3CDTF">2026-06-04T04:21:18Z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