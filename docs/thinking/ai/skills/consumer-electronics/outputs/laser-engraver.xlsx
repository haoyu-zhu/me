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市场规模(按口径)" sheetId="1" state="visible" r:id="rId3"/>
    <sheet name="2-地区分布" sheetId="2" state="visible" r:id="rId4"/>
    <sheet name="3-品类x价格矩阵" sheetId="3" state="visible" r:id="rId5"/>
    <sheet name="4-竞品对比" sheetId="4" state="visible" r:id="rId6"/>
    <sheet name="5-用户痛点" sheetId="5" state="visible" r:id="rId7"/>
    <sheet name="6-BOM与单位经济" sheetId="6" state="visible" r:id="rId8"/>
    <sheet name="7-数据勾稽自检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<sst xmlns="http://schemas.openxmlformats.org/spreadsheetml/2006/main" count="436" uniqueCount="355">
  <si>
    <t xml:space="preserve">消费级/桌面激光雕刻机 — 市场规模（严格分口径，勿跨口径比较）</t>
  </si>
  <si>
    <t xml:space="preserve">口径(品类)</t>
  </si>
  <si>
    <t xml:space="preserve">地域</t>
  </si>
  <si>
    <t xml:space="preserve">指标</t>
  </si>
  <si>
    <t xml:space="preserve">年份</t>
  </si>
  <si>
    <t xml:space="preserve">数值</t>
  </si>
  <si>
    <t xml:space="preserve">增速/CAGR</t>
  </si>
  <si>
    <t xml:space="preserve">来源编号</t>
  </si>
  <si>
    <t xml:space="preserve">置信度</t>
  </si>
  <si>
    <t xml:space="preserve">广义"激光雕刻机"(含工业打标)</t>
  </si>
  <si>
    <t xml:space="preserve">全球</t>
  </si>
  <si>
    <t xml:space="preserve">销售额(收入)</t>
  </si>
  <si>
    <t xml:space="preserve">2025</t>
  </si>
  <si>
    <t xml:space="preserve">约 $3.5–3.8B</t>
  </si>
  <si>
    <t xml:space="preserve">2025–2035 CAGR ~7–8%</t>
  </si>
  <si>
    <t xml:space="preserve">[1][2][10]</t>
  </si>
  <si>
    <t xml:space="preserve">中(多源区间)</t>
  </si>
  <si>
    <t xml:space="preserve">销售额(区间下限)</t>
  </si>
  <si>
    <t xml:space="preserve">2024</t>
  </si>
  <si>
    <t xml:space="preserve">$2.26B (MRFuture)</t>
  </si>
  <si>
    <t xml:space="preserve">CAGR 4.37%</t>
  </si>
  <si>
    <t xml:space="preserve">[10]</t>
  </si>
  <si>
    <t xml:space="preserve">低(单源)</t>
  </si>
  <si>
    <t xml:space="preserve">桌面/消费级激光雕刻机</t>
  </si>
  <si>
    <t xml:space="preserve">销售额/GMV</t>
  </si>
  <si>
    <t xml:space="preserve">约 $2.18B</t>
  </si>
  <si>
    <t xml:space="preserve">近年 CAGR ~9.7%→2033 $5.12B</t>
  </si>
  <si>
    <t xml:space="preserve">[13]</t>
  </si>
  <si>
    <t xml:space="preserve">低(单源,估算)</t>
  </si>
  <si>
    <t xml:space="preserve">桌面/消费级激光雕刻机(自建三角校验)</t>
  </si>
  <si>
    <t xml:space="preserve">GMV</t>
  </si>
  <si>
    <t xml:space="preserve">2024–25</t>
  </si>
  <si>
    <t xml:space="preserve">估 $1.5–2.5B</t>
  </si>
  <si>
    <t xml:space="preserve">高增长 15–30%</t>
  </si>
  <si>
    <t xml:space="preserve">[13][20][32]</t>
  </si>
  <si>
    <t xml:space="preserve">低(估算)</t>
  </si>
  <si>
    <t xml:space="preserve">消费级半导体(二极管)雕刻机</t>
  </si>
  <si>
    <t xml:space="preserve">出货量</t>
  </si>
  <si>
    <t xml:space="preserve">2020</t>
  </si>
  <si>
    <r>
      <rPr>
        <sz val="10"/>
        <rFont val="Arial"/>
        <family val="0"/>
        <charset val="1"/>
      </rPr>
      <t xml:space="preserve">25–30 </t>
    </r>
    <r>
      <rPr>
        <sz val="10"/>
        <rFont val="Noto Sans CJK SC"/>
        <family val="2"/>
      </rPr>
      <t xml:space="preserve">万台</t>
    </r>
  </si>
  <si>
    <t xml:space="preserve">—</t>
  </si>
  <si>
    <t xml:space="preserve">[83]</t>
  </si>
  <si>
    <t xml:space="preserve">低</t>
  </si>
  <si>
    <t xml:space="preserve">2022</t>
  </si>
  <si>
    <r>
      <rPr>
        <sz val="10"/>
        <rFont val="Arial"/>
        <family val="0"/>
        <charset val="1"/>
      </rPr>
      <t xml:space="preserve">40–45 </t>
    </r>
    <r>
      <rPr>
        <sz val="10"/>
        <rFont val="Noto Sans CJK SC"/>
        <family val="2"/>
      </rPr>
      <t xml:space="preserve">万台</t>
    </r>
  </si>
  <si>
    <t xml:space="preserve">年综合增长 ~20%</t>
  </si>
  <si>
    <t xml:space="preserve">2023</t>
  </si>
  <si>
    <r>
      <rPr>
        <sz val="10"/>
        <rFont val="Arial"/>
        <family val="0"/>
        <charset val="1"/>
      </rPr>
      <t xml:space="preserve">&gt;50 </t>
    </r>
    <r>
      <rPr>
        <sz val="10"/>
        <rFont val="Noto Sans CJK SC"/>
        <family val="2"/>
      </rPr>
      <t xml:space="preserve">万台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</si>
  <si>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科技赋能个人创意工具</t>
    </r>
    <r>
      <rPr>
        <sz val="10"/>
        <rFont val="Arial"/>
        <family val="0"/>
        <charset val="1"/>
      </rPr>
      <t xml:space="preserve">"(</t>
    </r>
    <r>
      <rPr>
        <sz val="10"/>
        <rFont val="Noto Sans CJK SC"/>
        <family val="2"/>
      </rPr>
      <t xml:space="preserve">广义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激光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烫画</t>
    </r>
    <r>
      <rPr>
        <sz val="10"/>
        <rFont val="Arial"/>
        <family val="0"/>
        <charset val="1"/>
      </rPr>
      <t xml:space="preserve">+UV</t>
    </r>
    <r>
      <rPr>
        <sz val="10"/>
        <rFont val="Noto Sans CJK SC"/>
        <family val="2"/>
      </rPr>
      <t xml:space="preserve">打印</t>
    </r>
    <r>
      <rPr>
        <sz val="10"/>
        <rFont val="Arial"/>
        <family val="0"/>
        <charset val="1"/>
      </rPr>
      <t xml:space="preserve">)</t>
    </r>
  </si>
  <si>
    <t xml:space="preserve">$6.8B</t>
  </si>
  <si>
    <t xml:space="preserve">2024–30 CAGR 33.8%</t>
  </si>
  <si>
    <t xml:space="preserve">[33][39]</t>
  </si>
  <si>
    <t xml:space="preserve">低(招股书委托,偏乐观)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</si>
  <si>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科技赋能个人创意工具</t>
    </r>
    <r>
      <rPr>
        <sz val="10"/>
        <rFont val="Arial"/>
        <family val="0"/>
        <charset val="1"/>
      </rPr>
      <t xml:space="preserve">"(</t>
    </r>
    <r>
      <rPr>
        <sz val="10"/>
        <rFont val="Noto Sans CJK SC"/>
        <family val="2"/>
      </rPr>
      <t xml:space="preserve">广义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</si>
  <si>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2030(</t>
    </r>
    <r>
      <rPr>
        <sz val="10"/>
        <rFont val="Noto Sans CJK SC"/>
        <family val="2"/>
      </rPr>
      <t xml:space="preserve">预测</t>
    </r>
    <r>
      <rPr>
        <sz val="10"/>
        <rFont val="Arial"/>
        <family val="0"/>
        <charset val="1"/>
      </rPr>
      <t xml:space="preserve">)</t>
    </r>
  </si>
  <si>
    <t xml:space="preserve">$39.1B</t>
  </si>
  <si>
    <r>
      <rPr>
        <sz val="10"/>
        <rFont val="Arial"/>
        <family val="0"/>
        <charset val="1"/>
      </rPr>
      <t xml:space="preserve">2030–35 </t>
    </r>
    <r>
      <rPr>
        <sz val="10"/>
        <rFont val="Noto Sans CJK SC"/>
        <family val="2"/>
      </rPr>
      <t xml:space="preserve">再 </t>
    </r>
    <r>
      <rPr>
        <sz val="10"/>
        <rFont val="Arial"/>
        <family val="0"/>
        <charset val="1"/>
      </rPr>
      <t xml:space="preserve">CAGR 17.3%→$87B</t>
    </r>
  </si>
  <si>
    <t xml:space="preserve">低(预测)</t>
  </si>
  <si>
    <t xml:space="preserve">广义激光雕刻机</t>
  </si>
  <si>
    <t xml:space="preserve">中国内地</t>
  </si>
  <si>
    <t xml:space="preserve">销售额</t>
  </si>
  <si>
    <t xml:space="preserve">约 ¥45.4亿(占全球40.5%,此为含工业口径)</t>
  </si>
  <si>
    <t xml:space="preserve">[89]</t>
  </si>
  <si>
    <t xml:space="preserve">低(与下行冲突)</t>
  </si>
  <si>
    <t xml:space="preserve">约 ¥128.6亿(+15.8%),产量28.4万台</t>
  </si>
  <si>
    <t xml:space="preserve">+15.8% YoY</t>
  </si>
  <si>
    <t xml:space="preserve">消费级激光雕刻机</t>
  </si>
  <si>
    <t xml:space="preserve">约 $46M(占全球7.06%)</t>
  </si>
  <si>
    <t xml:space="preserve">2024–30 CAGR ~18.4%→$168M</t>
  </si>
  <si>
    <t xml:space="preserve">[80][81]</t>
  </si>
  <si>
    <t xml:space="preserve">低(口径极窄)</t>
  </si>
  <si>
    <t xml:space="preserve">口径说明：广义"激光雕刻机"含大量工业光纤打标设备，规模大但与消费桌面机不可混用；桌面/消费级是本报告目标品类。各机构预测数值差异达数倍，属该行业常态，故给区间而非单点。灼识咨询(CIC)数据来自xTool招股书，为委托方口径、偏乐观，仅作方向参考。</t>
  </si>
  <si>
    <t xml:space="preserve">全球地区分布（消费级激光雕刻机；行=地区，列=指标）</t>
  </si>
  <si>
    <t xml:space="preserve">地区</t>
  </si>
  <si>
    <t xml:space="preserve">占全球销售额(估)</t>
  </si>
  <si>
    <t xml:space="preserve">近两年增速(估)</t>
  </si>
  <si>
    <t xml:space="preserve">说明/成因</t>
  </si>
  <si>
    <t xml:space="preserve">北美(以美国为主)</t>
  </si>
  <si>
    <t xml:space="preserve">约 35–40%</t>
  </si>
  <si>
    <t xml:space="preserve">放缓至 ~10%(2025,关税扰动)</t>
  </si>
  <si>
    <t xml:space="preserve">最大消费市场;DIY文化强、购买力高、Etsy/小商家生态;xTool美国区占其营收55%;2025关税+去de minimis重创低价机</t>
  </si>
  <si>
    <t xml:space="preserve">中</t>
  </si>
  <si>
    <t xml:space="preserve">欧洲</t>
  </si>
  <si>
    <t xml:space="preserve">约 30–34%</t>
  </si>
  <si>
    <t xml:space="preserve">较快(xTool欧洲占比升至30%)</t>
  </si>
  <si>
    <t xml:space="preserve">德/法/英/意/波兰为主;创意消费接受度高;CE/EN60825合规门槛;LaserPecker/Atomstack重点投放</t>
  </si>
  <si>
    <t xml:space="preserve">消费端占比小(&lt;10%)</t>
  </si>
  <si>
    <t xml:space="preserve">内需起步、快速</t>
  </si>
  <si>
    <t xml:space="preserve">全球生产基地(70%+跨境卖家为中企),但消费级内需仍小、主要出口;近年内需随"悦己经济"起量</t>
  </si>
  <si>
    <t xml:space="preserve">日韩</t>
  </si>
  <si>
    <t xml:space="preserve">约 3–6%(估)</t>
  </si>
  <si>
    <t xml:space="preserve">平稳</t>
  </si>
  <si>
    <t xml:space="preserve">手作/文创需求存在但规模有限;本地品牌少</t>
  </si>
  <si>
    <t xml:space="preserve">其他(加/澳/东南亚等)</t>
  </si>
  <si>
    <t xml:space="preserve">约 8–12%(估)</t>
  </si>
  <si>
    <t xml:space="preserve">平稳偏升</t>
  </si>
  <si>
    <t xml:space="preserve">加拿大、澳洲随英语DIY文化;东南亚起步</t>
  </si>
  <si>
    <t xml:space="preserve">注：广义激光雕刻机中北美约38%、欧洲约34%(2023,含工业)[81];消费级更集中于美欧英语DIY市场。xTool地区结构:美国54.8%、欧洲30.3%、其他14.9%(2025前9月)[31]。</t>
  </si>
  <si>
    <t xml:space="preserve">品类 × 价格 供给密度矩阵（0–10,估算:在售SKU/品牌数量级;0=空白机会区）</t>
  </si>
  <si>
    <t xml:space="preserve">品类\价格</t>
  </si>
  <si>
    <t xml:space="preserve">入门 &lt;$500</t>
  </si>
  <si>
    <t xml:space="preserve">中端 $500–1500</t>
  </si>
  <si>
    <t xml:space="preserve">高端 $1500–3500</t>
  </si>
  <si>
    <t xml:space="preserve">旗舰 $3500–8000</t>
  </si>
  <si>
    <t xml:space="preserve">代表机会/说明</t>
  </si>
  <si>
    <t xml:space="preserve">便携/口袋式</t>
  </si>
  <si>
    <t xml:space="preserve">高端便携稀疏→高性能便携机会</t>
  </si>
  <si>
    <t xml:space="preserve">开放式二极管</t>
  </si>
  <si>
    <t xml:space="preserve">入门红海;向上受安全/封闭挤压</t>
  </si>
  <si>
    <t xml:space="preserve">封闭式二极管(Class-1)</t>
  </si>
  <si>
    <t xml:space="preserve">★入门价×安全封闭=空白机会区</t>
  </si>
  <si>
    <t xml:space="preserve">桌面CO2</t>
  </si>
  <si>
    <t xml:space="preserve">入门价CO2缺位(受成本约束)</t>
  </si>
  <si>
    <t xml:space="preserve">光纤/MOPA金属</t>
  </si>
  <si>
    <t xml:space="preserve">★入门级金属打标=机会区</t>
  </si>
  <si>
    <t xml:space="preserve">多功能/双光源一体</t>
  </si>
  <si>
    <t xml:space="preserve">★平价一体机=机会区</t>
  </si>
  <si>
    <t xml:space="preserve">主要竞品对比（价格为海外零售价约数）</t>
  </si>
  <si>
    <t xml:space="preserve">品牌</t>
  </si>
  <si>
    <t xml:space="preserve">国别</t>
  </si>
  <si>
    <t xml:space="preserve">定位/主打</t>
  </si>
  <si>
    <t xml:space="preserve">代表机型</t>
  </si>
  <si>
    <t xml:space="preserve">光源类型</t>
  </si>
  <si>
    <t xml:space="preserve">价格带(USD)</t>
  </si>
  <si>
    <t xml:space="preserve">核心卖点</t>
  </si>
  <si>
    <t xml:space="preserve">软件</t>
  </si>
  <si>
    <t xml:space="preserve">渠道</t>
  </si>
  <si>
    <t xml:space="preserve">大致地位</t>
  </si>
  <si>
    <r>
      <rPr>
        <sz val="10"/>
        <rFont val="Arial"/>
        <family val="0"/>
        <charset val="1"/>
      </rPr>
      <t xml:space="preserve">xTool(</t>
    </r>
    <r>
      <rPr>
        <sz val="10"/>
        <rFont val="Noto Sans CJK SC"/>
        <family val="2"/>
      </rPr>
      <t xml:space="preserve">创客工场</t>
    </r>
    <r>
      <rPr>
        <sz val="10"/>
        <rFont val="Arial"/>
        <family val="0"/>
        <charset val="1"/>
      </rPr>
      <t xml:space="preserve">/Makeblock)</t>
    </r>
  </si>
  <si>
    <t xml:space="preserve">中国</t>
  </si>
  <si>
    <t xml:space="preserve">消费级高端"准工业"</t>
  </si>
  <si>
    <t xml:space="preserve">P2/P3,S1,F1/F2 Ultra,M1 Ultra</t>
  </si>
  <si>
    <t xml:space="preserve">二极管/CO2/光纤MOPA/双光源</t>
  </si>
  <si>
    <t xml:space="preserve">$200–7000</t>
  </si>
  <si>
    <t xml:space="preserve">全价位覆盖、双光源、AI软件、安全封闭、DTC体验</t>
  </si>
  <si>
    <r>
      <rPr>
        <sz val="10"/>
        <rFont val="Arial"/>
        <family val="0"/>
        <charset val="1"/>
      </rPr>
      <t xml:space="preserve">XCS/Studio(</t>
    </r>
    <r>
      <rPr>
        <sz val="10"/>
        <rFont val="Noto Sans CJK SC"/>
        <family val="2"/>
      </rPr>
      <t xml:space="preserve">免费</t>
    </r>
    <r>
      <rPr>
        <sz val="10"/>
        <rFont val="Arial"/>
        <family val="0"/>
        <charset val="1"/>
      </rPr>
      <t xml:space="preserve">,AI)</t>
    </r>
  </si>
  <si>
    <t xml:space="preserve">独立站61%+亚马逊/沃尔玛</t>
  </si>
  <si>
    <t xml:space="preserve">龙头,消费雕刻GMV约47%</t>
  </si>
  <si>
    <t xml:space="preserve">Glowforge</t>
  </si>
  <si>
    <t xml:space="preserve">美国</t>
  </si>
  <si>
    <t xml:space="preserve">消费级CO2开创者</t>
  </si>
  <si>
    <t xml:space="preserve">Aura/Plus/Pro,Spark</t>
  </si>
  <si>
    <r>
      <rPr>
        <sz val="10"/>
        <rFont val="Arial"/>
        <family val="0"/>
        <charset val="1"/>
      </rPr>
      <t xml:space="preserve">CO2/</t>
    </r>
    <r>
      <rPr>
        <sz val="10"/>
        <rFont val="Noto Sans CJK SC"/>
        <family val="2"/>
      </rPr>
      <t xml:space="preserve">二极管</t>
    </r>
  </si>
  <si>
    <t xml:space="preserve">$1200–7000</t>
  </si>
  <si>
    <t xml:space="preserve">品牌认知、Proofgrade扫码材料、易用</t>
  </si>
  <si>
    <t xml:space="preserve">云端(部分订阅)</t>
  </si>
  <si>
    <t xml:space="preserve">独立站+零售</t>
  </si>
  <si>
    <t xml:space="preserve">老牌,已跌出前五</t>
  </si>
  <si>
    <r>
      <rPr>
        <sz val="10"/>
        <rFont val="Arial"/>
        <family val="0"/>
        <charset val="1"/>
      </rPr>
      <t xml:space="preserve">Atomstack(</t>
    </r>
    <r>
      <rPr>
        <sz val="10"/>
        <rFont val="Noto Sans CJK SC"/>
        <family val="2"/>
      </rPr>
      <t xml:space="preserve">原子智造</t>
    </r>
    <r>
      <rPr>
        <sz val="10"/>
        <rFont val="Arial"/>
        <family val="0"/>
        <charset val="1"/>
      </rPr>
      <t xml:space="preserve">)</t>
    </r>
  </si>
  <si>
    <t xml:space="preserve">高性价比二极管出货王</t>
  </si>
  <si>
    <t xml:space="preserve">A5/A20 Pro,Hurricane,Kraft</t>
  </si>
  <si>
    <t xml:space="preserve">二极管/CO2/双光源</t>
  </si>
  <si>
    <t xml:space="preserve">$150–2000</t>
  </si>
  <si>
    <t xml:space="preserve">出货量大、性价比、经销商铺货</t>
  </si>
  <si>
    <r>
      <rPr>
        <sz val="10"/>
        <rFont val="Arial"/>
        <family val="0"/>
        <charset val="1"/>
      </rPr>
      <t xml:space="preserve">LightBurn/</t>
    </r>
    <r>
      <rPr>
        <sz val="10"/>
        <rFont val="Noto Sans CJK SC"/>
        <family val="2"/>
      </rPr>
      <t xml:space="preserve">自有</t>
    </r>
  </si>
  <si>
    <t xml:space="preserve">经销商(棒谷/傲基)+亚马逊</t>
  </si>
  <si>
    <t xml:space="preserve">二极管出货量领先,前三</t>
  </si>
  <si>
    <r>
      <rPr>
        <sz val="10"/>
        <rFont val="Arial"/>
        <family val="0"/>
        <charset val="1"/>
      </rPr>
      <t xml:space="preserve">Creality(</t>
    </r>
    <r>
      <rPr>
        <sz val="10"/>
        <rFont val="Noto Sans CJK SC"/>
        <family val="2"/>
      </rPr>
      <t xml:space="preserve">创想三维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</si>
  <si>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打印跨界</t>
    </r>
  </si>
  <si>
    <t xml:space="preserve">Falcon2 22W,Falcon T1,A1 Pro</t>
  </si>
  <si>
    <t xml:space="preserve">二极管/多模块(含光纤/UV)</t>
  </si>
  <si>
    <t xml:space="preserve">$300–2000</t>
  </si>
  <si>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打印品牌背书、模块可换、社区</t>
    </r>
  </si>
  <si>
    <t xml:space="preserve">亚马逊+独立站</t>
  </si>
  <si>
    <t xml:space="preserve">新锐,前五</t>
  </si>
  <si>
    <t xml:space="preserve">Ortur</t>
  </si>
  <si>
    <t xml:space="preserve">安全、易用开放机</t>
  </si>
  <si>
    <t xml:space="preserve">Laser Master 3,H20</t>
  </si>
  <si>
    <t xml:space="preserve">二极管</t>
  </si>
  <si>
    <t xml:space="preserve">$300–1200</t>
  </si>
  <si>
    <t xml:space="preserve">安全设计、开箱易用、口碑稳</t>
  </si>
  <si>
    <t xml:space="preserve">LightBurn</t>
  </si>
  <si>
    <t xml:space="preserve">亚马逊</t>
  </si>
  <si>
    <t xml:space="preserve">老牌二极管,稳居前列</t>
  </si>
  <si>
    <t xml:space="preserve">Sculpfun</t>
  </si>
  <si>
    <t xml:space="preserve">木工/切割性价比</t>
  </si>
  <si>
    <t xml:space="preserve">S9,S30 Pro Max,SF-A9</t>
  </si>
  <si>
    <t xml:space="preserve">$180–600</t>
  </si>
  <si>
    <t xml:space="preserve">切割性能、可换镜片、性价比</t>
  </si>
  <si>
    <t xml:space="preserve">入门热销</t>
  </si>
  <si>
    <r>
      <rPr>
        <sz val="10"/>
        <rFont val="Arial"/>
        <family val="0"/>
        <charset val="1"/>
      </rPr>
      <t xml:space="preserve">LaserPecker(</t>
    </r>
    <r>
      <rPr>
        <sz val="10"/>
        <rFont val="Noto Sans CJK SC"/>
        <family val="2"/>
      </rPr>
      <t xml:space="preserve">嗨兴科技</t>
    </r>
    <r>
      <rPr>
        <sz val="10"/>
        <rFont val="Arial"/>
        <family val="0"/>
        <charset val="1"/>
      </rPr>
      <t xml:space="preserve">)</t>
    </r>
  </si>
  <si>
    <t xml:space="preserve">便携/众筹爆款</t>
  </si>
  <si>
    <t xml:space="preserve">LP1+,LP4,LP5</t>
  </si>
  <si>
    <t xml:space="preserve">二极管/光纤</t>
  </si>
  <si>
    <t xml:space="preserve">$200–2000</t>
  </si>
  <si>
    <t xml:space="preserve">极致便携、众筹(累计~¥3亿)、双光源</t>
  </si>
  <si>
    <t xml:space="preserve">自有App</t>
  </si>
  <si>
    <t xml:space="preserve">众筹+独立站+TikTok</t>
  </si>
  <si>
    <t xml:space="preserve">便携细分领先</t>
  </si>
  <si>
    <t xml:space="preserve">WeCreat</t>
  </si>
  <si>
    <t xml:space="preserve">小商家封闭一体</t>
  </si>
  <si>
    <t xml:space="preserve">Vision/Vision Pro</t>
  </si>
  <si>
    <t xml:space="preserve">二极管/多光源</t>
  </si>
  <si>
    <t xml:space="preserve">$1300–3750</t>
  </si>
  <si>
    <t xml:space="preserve">自动对焦、封闭安全、面向小生意</t>
  </si>
  <si>
    <t xml:space="preserve">自有</t>
  </si>
  <si>
    <t xml:space="preserve">独立站+亚马逊</t>
  </si>
  <si>
    <t xml:space="preserve">新锐追赶</t>
  </si>
  <si>
    <r>
      <rPr>
        <sz val="10"/>
        <rFont val="Arial"/>
        <family val="0"/>
        <charset val="1"/>
      </rPr>
      <t xml:space="preserve">Bambu Lab(</t>
    </r>
    <r>
      <rPr>
        <sz val="10"/>
        <rFont val="Noto Sans CJK SC"/>
        <family val="2"/>
      </rPr>
      <t xml:space="preserve">拓竹</t>
    </r>
    <r>
      <rPr>
        <sz val="10"/>
        <rFont val="Arial"/>
        <family val="0"/>
        <charset val="1"/>
      </rPr>
      <t xml:space="preserve">)</t>
    </r>
  </si>
  <si>
    <t xml:space="preserve">桌面3D打印巨头跨界</t>
  </si>
  <si>
    <r>
      <rPr>
        <sz val="10"/>
        <rFont val="Arial"/>
        <family val="0"/>
        <charset val="1"/>
      </rPr>
      <t xml:space="preserve">H2D(3D+</t>
    </r>
    <r>
      <rPr>
        <sz val="10"/>
        <rFont val="Noto Sans CJK SC"/>
        <family val="2"/>
      </rPr>
      <t xml:space="preserve">激光切雕</t>
    </r>
    <r>
      <rPr>
        <sz val="10"/>
        <rFont val="Arial"/>
        <family val="0"/>
        <charset val="1"/>
      </rPr>
      <t xml:space="preserve">+CNC+</t>
    </r>
    <r>
      <rPr>
        <sz val="10"/>
        <rFont val="Noto Sans CJK SC"/>
        <family val="2"/>
      </rPr>
      <t xml:space="preserve">绘图</t>
    </r>
    <r>
      <rPr>
        <sz val="10"/>
        <rFont val="Arial"/>
        <family val="0"/>
        <charset val="1"/>
      </rPr>
      <t xml:space="preserve">)</t>
    </r>
  </si>
  <si>
    <t xml:space="preserve">二极管(集成)</t>
  </si>
  <si>
    <r>
      <rPr>
        <sz val="10"/>
        <rFont val="Arial"/>
        <family val="0"/>
        <charset val="1"/>
      </rPr>
      <t xml:space="preserve">$1900</t>
    </r>
    <r>
      <rPr>
        <sz val="10"/>
        <rFont val="Noto Sans CJK SC"/>
        <family val="2"/>
      </rPr>
      <t xml:space="preserve">起</t>
    </r>
  </si>
  <si>
    <t xml:space="preserve">桌面3D打印No.1品牌背书、生态、AI视觉</t>
  </si>
  <si>
    <t xml:space="preserve">Bambu Studio</t>
  </si>
  <si>
    <t xml:space="preserve">独立站+旗舰店+亚马逊</t>
  </si>
  <si>
    <t xml:space="preserve">★潜在颠覆者(跨界)</t>
  </si>
  <si>
    <t xml:space="preserve">大族激光(Han's Laser)</t>
  </si>
  <si>
    <t xml:space="preserve">工业激光上市巨头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</si>
  <si>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拟入消费级</t>
    </r>
    <r>
      <rPr>
        <sz val="10"/>
        <rFont val="Arial"/>
        <family val="0"/>
        <charset val="1"/>
      </rPr>
      <t xml:space="preserve">)</t>
    </r>
  </si>
  <si>
    <t xml:space="preserve">光纤/CO2</t>
  </si>
  <si>
    <t xml:space="preserve">工业级技术与供应链储备</t>
  </si>
  <si>
    <t xml:space="preserve">★潜在入场者</t>
  </si>
  <si>
    <t xml:space="preserve">用户痛点/未满足需求（来自差评与买家复盘,阶段4.2）</t>
  </si>
  <si>
    <t xml:space="preserve">痛点</t>
  </si>
  <si>
    <t xml:space="preserve">出现频次(估)</t>
  </si>
  <si>
    <t xml:space="preserve">典型来源</t>
  </si>
  <si>
    <t xml:space="preserve">对应产品机会</t>
  </si>
  <si>
    <t xml:space="preserve">烟雾/异味/有毒气体(亚克力、皮革、含氯塑料)</t>
  </si>
  <si>
    <t xml:space="preserve">高</t>
  </si>
  <si>
    <r>
      <rPr>
        <sz val="10"/>
        <rFont val="Arial"/>
        <family val="0"/>
        <charset val="1"/>
      </rPr>
      <t xml:space="preserve">r/lasercutting</t>
    </r>
    <r>
      <rPr>
        <sz val="10"/>
        <rFont val="Noto Sans CJK SC"/>
        <family val="2"/>
      </rPr>
      <t xml:space="preserve">、买家博客、什么值得买</t>
    </r>
  </si>
  <si>
    <t xml:space="preserve">标配高效内循环烟雾过滤;材料安全提示;负压封闭</t>
  </si>
  <si>
    <t xml:space="preserve">火灾风险(无人值守、火苗)</t>
  </si>
  <si>
    <t xml:space="preserve">测评、社区</t>
  </si>
  <si>
    <t xml:space="preserve">火焰/温度传感器+自动灭火+联锁急停(参考xTool P3)</t>
  </si>
  <si>
    <t xml:space="preserve">护眼/激光辐射(开放机反射伤眼)</t>
  </si>
  <si>
    <t xml:space="preserve">安全指南、社区</t>
  </si>
  <si>
    <r>
      <rPr>
        <sz val="10"/>
        <rFont val="Arial"/>
        <family val="0"/>
        <charset val="1"/>
      </rPr>
      <t xml:space="preserve">Class-1</t>
    </r>
    <r>
      <rPr>
        <sz val="10"/>
        <rFont val="Noto Sans CJK SC"/>
        <family val="2"/>
      </rPr>
      <t xml:space="preserve">全封闭默认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无需护目镜</t>
    </r>
  </si>
  <si>
    <t xml:space="preserve">学习曲线陡(功率/速度/密度/对焦、木材不均匀)</t>
  </si>
  <si>
    <t xml:space="preserve">新手复盘、troubleshooting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</si>
  <si>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一键参数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材料库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自动对焦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摄像头预览</t>
    </r>
  </si>
  <si>
    <t xml:space="preserve">软件摩擦(自有软件弱/驱动问题;LightBurn另付$60;Glowforge云端锁定+订阅)</t>
  </si>
  <si>
    <r>
      <rPr>
        <sz val="10"/>
        <rFont val="Arial"/>
        <family val="0"/>
        <charset val="1"/>
      </rPr>
      <t xml:space="preserve">PCMag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Reddit</t>
    </r>
    <r>
      <rPr>
        <sz val="10"/>
        <rFont val="Noto Sans CJK SC"/>
        <family val="2"/>
      </rPr>
      <t xml:space="preserve">、论坛</t>
    </r>
  </si>
  <si>
    <t xml:space="preserve">免费好用软件+离线运行+LightBurn兼容</t>
  </si>
  <si>
    <t xml:space="preserve">可靠性/售后(Glowforge数月损坏、维修贵、云端停服风险;xTool售后不稳)</t>
  </si>
  <si>
    <t xml:space="preserve">中-高</t>
  </si>
  <si>
    <r>
      <rPr>
        <sz val="10"/>
        <rFont val="Arial"/>
        <family val="0"/>
        <charset val="1"/>
      </rPr>
      <t xml:space="preserve">Reddit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Trustpilot</t>
    </r>
  </si>
  <si>
    <t xml:space="preserve">离线可用+本地服务站+快速响应+透明保修</t>
  </si>
  <si>
    <t xml:space="preserve">隐性耗材成本(材料、遮蔽胶带、空气辅助、蜂窝板、滤芯)</t>
  </si>
  <si>
    <r>
      <rPr>
        <sz val="10"/>
        <rFont val="Arial"/>
        <family val="0"/>
        <charset val="1"/>
      </rPr>
      <t xml:space="preserve">xda</t>
    </r>
    <r>
      <rPr>
        <sz val="10"/>
        <rFont val="Noto Sans CJK SC"/>
        <family val="2"/>
      </rPr>
      <t xml:space="preserve">、买家复盘</t>
    </r>
  </si>
  <si>
    <t xml:space="preserve">整机含耗材套装;官方材料预设降低试错</t>
  </si>
  <si>
    <t xml:space="preserve">二极管材料受限(不能切透明亚克力/玻璃/裸金属)、速度慢</t>
  </si>
  <si>
    <t xml:space="preserve">选购指南</t>
  </si>
  <si>
    <t xml:space="preserve">双光源(二极管+光纤/IR)扩材料;galvo提速</t>
  </si>
  <si>
    <t xml:space="preserve">对焦繁琐(手动调高度)</t>
  </si>
  <si>
    <t xml:space="preserve">论坛</t>
  </si>
  <si>
    <t xml:space="preserve">自动对焦/LiDAR</t>
  </si>
  <si>
    <t xml:space="preserve">耗时被低估(设计、测试、清理)</t>
  </si>
  <si>
    <t xml:space="preserve">买家复盘</t>
  </si>
  <si>
    <t xml:space="preserve">模板库+社区参数共享(参考Atomm)</t>
  </si>
  <si>
    <t xml:space="preserve">代表性BOM — 中端封闭式20W二极管桌面机(零售约$1200–1500,估算)</t>
  </si>
  <si>
    <t xml:space="preserve">物料</t>
  </si>
  <si>
    <t xml:space="preserve">主流方案/供应商</t>
  </si>
  <si>
    <t xml:space="preserve">国产/进口</t>
  </si>
  <si>
    <t xml:space="preserve">成本量级(USD,估)</t>
  </si>
  <si>
    <t xml:space="preserve">蓝光二极管激光源(20W多管模组)</t>
  </si>
  <si>
    <r>
      <rPr>
        <sz val="10"/>
        <rFont val="Arial"/>
        <family val="0"/>
        <charset val="1"/>
      </rPr>
      <t xml:space="preserve">Nichia/Osram(ams)/Sharp</t>
    </r>
    <r>
      <rPr>
        <sz val="10"/>
        <rFont val="Noto Sans CJK SC"/>
        <family val="2"/>
      </rPr>
      <t xml:space="preserve">二极管芯片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国产合束封装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</t>
    </r>
    <r>
      <rPr>
        <sz val="10"/>
        <rFont val="Arial"/>
        <family val="0"/>
        <charset val="1"/>
      </rPr>
      <t xml:space="preserve">Cloudray</t>
    </r>
    <r>
      <rPr>
        <sz val="10"/>
        <rFont val="Noto Sans CJK SC"/>
        <family val="2"/>
      </rPr>
      <t xml:space="preserve">等</t>
    </r>
    <r>
      <rPr>
        <sz val="10"/>
        <rFont val="Arial"/>
        <family val="0"/>
        <charset val="1"/>
      </rPr>
      <t xml:space="preserve">)</t>
    </r>
  </si>
  <si>
    <t xml:space="preserve">芯片进口/封装国产</t>
  </si>
  <si>
    <t xml:space="preserve">$60–120</t>
  </si>
  <si>
    <t xml:space="preserve">振镜/运动系统(galvo或XY龙门+步进)</t>
  </si>
  <si>
    <r>
      <rPr>
        <sz val="10"/>
        <rFont val="Arial"/>
        <family val="0"/>
        <charset val="1"/>
      </rPr>
      <t xml:space="preserve">Sino-Galvo/</t>
    </r>
    <r>
      <rPr>
        <sz val="10"/>
        <rFont val="Noto Sans CJK SC"/>
        <family val="2"/>
      </rPr>
      <t xml:space="preserve">金橙子</t>
    </r>
    <r>
      <rPr>
        <sz val="10"/>
        <rFont val="Arial"/>
        <family val="0"/>
        <charset val="1"/>
      </rPr>
      <t xml:space="preserve">(galvo)</t>
    </r>
    <r>
      <rPr>
        <sz val="10"/>
        <rFont val="Noto Sans CJK SC"/>
        <family val="2"/>
      </rPr>
      <t xml:space="preserve">或国产步进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同步带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直线导轨</t>
    </r>
  </si>
  <si>
    <t xml:space="preserve">国产</t>
  </si>
  <si>
    <t xml:space="preserve">$40–80</t>
  </si>
  <si>
    <t xml:space="preserve">控制主板/MCU(GRBL或自研)</t>
  </si>
  <si>
    <t xml:space="preserve">$15–30</t>
  </si>
  <si>
    <t xml:space="preserve">电源(PSU)</t>
  </si>
  <si>
    <t xml:space="preserve">$12–25</t>
  </si>
  <si>
    <t xml:space="preserve">封闭外壳/钣金/光学窗</t>
  </si>
  <si>
    <t xml:space="preserve">摄像头/传感器(对焦、火焰、联锁)</t>
  </si>
  <si>
    <t xml:space="preserve">国产(部分传感器进口)</t>
  </si>
  <si>
    <t xml:space="preserve">多为国产</t>
  </si>
  <si>
    <t xml:space="preserve">$20–45</t>
  </si>
  <si>
    <t xml:space="preserve">烟雾过滤/风机</t>
  </si>
  <si>
    <t xml:space="preserve">$25–60</t>
  </si>
  <si>
    <t xml:space="preserve">光学件(透镜/振镜镜片)</t>
  </si>
  <si>
    <t xml:space="preserve">混合</t>
  </si>
  <si>
    <t xml:space="preserve">$10–25</t>
  </si>
  <si>
    <t xml:space="preserve">包材/线缆/杂项</t>
  </si>
  <si>
    <r>
      <rPr>
        <b val="true"/>
        <sz val="10"/>
        <color rgb="FF2F5496"/>
        <rFont val="Arial"/>
        <family val="0"/>
        <charset val="1"/>
      </rPr>
      <t xml:space="preserve">BOM </t>
    </r>
    <r>
      <rPr>
        <b val="true"/>
        <sz val="10"/>
        <color rgb="FF2F5496"/>
        <rFont val="Noto Sans CJK SC"/>
        <family val="2"/>
      </rPr>
      <t xml:space="preserve">合计</t>
    </r>
    <r>
      <rPr>
        <b val="true"/>
        <sz val="10"/>
        <color rgb="FF2F5496"/>
        <rFont val="Arial"/>
        <family val="0"/>
        <charset val="1"/>
      </rPr>
      <t xml:space="preserve">(</t>
    </r>
    <r>
      <rPr>
        <b val="true"/>
        <sz val="10"/>
        <color rgb="FF2F5496"/>
        <rFont val="Noto Sans CJK SC"/>
        <family val="2"/>
      </rPr>
      <t xml:space="preserve">下限</t>
    </r>
    <r>
      <rPr>
        <b val="true"/>
        <sz val="10"/>
        <color rgb="FF2F5496"/>
        <rFont val="Arial"/>
        <family val="0"/>
        <charset val="1"/>
      </rPr>
      <t xml:space="preserve">)</t>
    </r>
  </si>
  <si>
    <t xml:space="preserve">合计约</t>
  </si>
  <si>
    <t xml:space="preserve">约 $237–495</t>
  </si>
  <si>
    <t xml:space="preserve">单位经济测算（示例:零售价$1299,DTC自营口径;蓝色=可改假设）</t>
  </si>
  <si>
    <t xml:space="preserve">项目</t>
  </si>
  <si>
    <t xml:space="preserve">数值/假设</t>
  </si>
  <si>
    <t xml:space="preserve">说明</t>
  </si>
  <si>
    <t xml:space="preserve">终端零售价(DTC自营)</t>
  </si>
  <si>
    <t xml:space="preserve">品牌自营独立站可收全额</t>
  </si>
  <si>
    <r>
      <rPr>
        <sz val="10"/>
        <rFont val="Arial"/>
        <family val="0"/>
        <charset val="1"/>
      </rPr>
      <t xml:space="preserve">BOM </t>
    </r>
    <r>
      <rPr>
        <sz val="10"/>
        <rFont val="Noto Sans CJK SC"/>
        <family val="2"/>
      </rPr>
      <t xml:space="preserve">成本</t>
    </r>
  </si>
  <si>
    <t xml:space="preserve">取BOM区间中值(估)</t>
  </si>
  <si>
    <t xml:space="preserve">制造/组装/良率损耗率</t>
  </si>
  <si>
    <t xml:space="preserve">占BOM比例(估)</t>
  </si>
  <si>
    <t xml:space="preserve">→ 出厂成本 COGS</t>
  </si>
  <si>
    <r>
      <rPr>
        <i val="true"/>
        <sz val="9"/>
        <rFont val="Cambria"/>
        <family val="0"/>
        <charset val="1"/>
      </rPr>
      <t xml:space="preserve">BOM+</t>
    </r>
    <r>
      <rPr>
        <i val="true"/>
        <sz val="9"/>
        <rFont val="Noto Sans CJK SC"/>
        <family val="2"/>
      </rPr>
      <t xml:space="preserve">制造</t>
    </r>
    <r>
      <rPr>
        <i val="true"/>
        <sz val="9"/>
        <rFont val="Cambria"/>
        <family val="0"/>
        <charset val="1"/>
      </rPr>
      <t xml:space="preserve">/</t>
    </r>
    <r>
      <rPr>
        <i val="true"/>
        <sz val="9"/>
        <rFont val="Noto Sans CJK SC"/>
        <family val="2"/>
      </rPr>
      <t xml:space="preserve">良率</t>
    </r>
  </si>
  <si>
    <t xml:space="preserve">产品毛利率 (零售−COGS)/零售</t>
  </si>
  <si>
    <t xml:space="preserve">仅扣产品成本,不含渠道/营销/物流</t>
  </si>
  <si>
    <t xml:space="preserve">美国进口关税(占COGS)</t>
  </si>
  <si>
    <t xml:space="preserve">当前~35%:10%S122+25%S301(2026年中)</t>
  </si>
  <si>
    <t xml:space="preserve">物流+仓储(占零售)</t>
  </si>
  <si>
    <t xml:space="preserve">跨境海运+仓储(估)</t>
  </si>
  <si>
    <t xml:space="preserve">营销/广告(占零售)</t>
  </si>
  <si>
    <t xml:space="preserve">单台约$280-420,行业获客成本上升</t>
  </si>
  <si>
    <t xml:space="preserve">经营利润率(扣关税/物流/营销后)</t>
  </si>
  <si>
    <t xml:space="preserve">≠毛利率;更接近真实净赚水平</t>
  </si>
  <si>
    <t xml:space="preserve">对标(xTool招股书,整体口径):毛利率54–59%、经调整净利率9.7–12.6%、净利率4.7–7.6%;材料成本约占营收30%,运费占营业成本30%+。价格较Glowforge低约20%仍维持55%毛利。</t>
  </si>
  <si>
    <t xml:space="preserve">附录A:数据勾稽自检表（核心口径交叉校验）</t>
  </si>
  <si>
    <t xml:space="preserve">校验项</t>
  </si>
  <si>
    <t xml:space="preserve">口径(品类/地域/年份)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</si>
  <si>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值</t>
    </r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</si>
  <si>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值</t>
    </r>
  </si>
  <si>
    <r>
      <rPr>
        <b val="true"/>
        <sz val="10"/>
        <color rgb="FFFFFFFF"/>
        <rFont val="Arial"/>
        <family val="0"/>
        <charset val="1"/>
      </rPr>
      <t xml:space="preserve">A×B</t>
    </r>
    <r>
      <rPr>
        <b val="true"/>
        <sz val="10"/>
        <color rgb="FFFFFFFF"/>
        <rFont val="Noto Sans CJK SC"/>
        <family val="2"/>
      </rPr>
      <t xml:space="preserve">或</t>
    </r>
    <r>
      <rPr>
        <b val="true"/>
        <sz val="10"/>
        <color rgb="FFFFFFFF"/>
        <rFont val="Arial"/>
        <family val="0"/>
        <charset val="1"/>
      </rPr>
      <t xml:space="preserve">A÷B</t>
    </r>
    <r>
      <rPr>
        <b val="true"/>
        <sz val="10"/>
        <color rgb="FFFFFFFF"/>
        <rFont val="Noto Sans CJK SC"/>
        <family val="2"/>
      </rPr>
      <t xml:space="preserve">推算</t>
    </r>
  </si>
  <si>
    <t xml:space="preserve">报告中对应数</t>
  </si>
  <si>
    <t xml:space="preserve">结论</t>
  </si>
  <si>
    <r>
      <rPr>
        <sz val="10"/>
        <rFont val="Arial"/>
        <family val="0"/>
        <charset val="1"/>
      </rPr>
      <t xml:space="preserve">xTool</t>
    </r>
    <r>
      <rPr>
        <sz val="10"/>
        <rFont val="Noto Sans CJK SC"/>
        <family val="2"/>
      </rPr>
      <t xml:space="preserve">营收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销量≈均价</t>
    </r>
  </si>
  <si>
    <r>
      <rPr>
        <sz val="10"/>
        <rFont val="Arial"/>
        <family val="0"/>
        <charset val="1"/>
      </rPr>
      <t xml:space="preserve">xTool</t>
    </r>
    <r>
      <rPr>
        <sz val="10"/>
        <rFont val="Noto Sans CJK SC"/>
        <family val="2"/>
      </rPr>
      <t xml:space="preserve">全部产品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/2024</t>
    </r>
  </si>
  <si>
    <t xml:space="preserve">营收¥24.76亿</t>
  </si>
  <si>
    <t xml:space="preserve">销量13.83万台</t>
  </si>
  <si>
    <r>
      <rPr>
        <sz val="10"/>
        <rFont val="Arial"/>
        <family val="0"/>
        <charset val="1"/>
      </rPr>
      <t xml:space="preserve">≈¥17,900/</t>
    </r>
    <r>
      <rPr>
        <sz val="10"/>
        <rFont val="Noto Sans CJK SC"/>
        <family val="2"/>
      </rPr>
      <t xml:space="preserve">台</t>
    </r>
    <r>
      <rPr>
        <sz val="10"/>
        <rFont val="Arial"/>
        <family val="0"/>
        <charset val="1"/>
      </rPr>
      <t xml:space="preserve">(≈$2,490)</t>
    </r>
  </si>
  <si>
    <t xml:space="preserve">招股书均价¥1.59万/台</t>
  </si>
  <si>
    <t xml:space="preserve">对得上(套组均价口径,机器含配件差异)</t>
  </si>
  <si>
    <r>
      <rPr>
        <sz val="10"/>
        <rFont val="Arial"/>
        <family val="0"/>
        <charset val="1"/>
      </rPr>
      <t xml:space="preserve">xTool/</t>
    </r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/2025</t>
    </r>
    <r>
      <rPr>
        <sz val="10"/>
        <rFont val="Noto Sans CJK SC"/>
        <family val="2"/>
      </rPr>
      <t xml:space="preserve">前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</t>
    </r>
  </si>
  <si>
    <t xml:space="preserve">营收¥17.77亿</t>
  </si>
  <si>
    <t xml:space="preserve">销量7.19万台</t>
  </si>
  <si>
    <r>
      <rPr>
        <sz val="10"/>
        <rFont val="Arial"/>
        <family val="0"/>
        <charset val="1"/>
      </rPr>
      <t xml:space="preserve">≈¥24,700/</t>
    </r>
    <r>
      <rPr>
        <sz val="10"/>
        <rFont val="Noto Sans CJK SC"/>
        <family val="2"/>
      </rPr>
      <t xml:space="preserve">台</t>
    </r>
  </si>
  <si>
    <t xml:space="preserve">招股书均价¥2.11万/台</t>
  </si>
  <si>
    <t xml:space="preserve">量级一致(价升量降验证)</t>
  </si>
  <si>
    <t xml:space="preserve">份额×大盘≈龙头体量</t>
  </si>
  <si>
    <t xml:space="preserve">消费雕刻GMV/全球/2024</t>
  </si>
  <si>
    <r>
      <rPr>
        <sz val="10"/>
        <rFont val="Arial"/>
        <family val="0"/>
        <charset val="1"/>
      </rPr>
      <t xml:space="preserve">xTool</t>
    </r>
    <r>
      <rPr>
        <sz val="10"/>
        <rFont val="Noto Sans CJK SC"/>
        <family val="2"/>
      </rPr>
      <t xml:space="preserve">份额</t>
    </r>
    <r>
      <rPr>
        <sz val="10"/>
        <rFont val="Arial"/>
        <family val="0"/>
        <charset val="1"/>
      </rPr>
      <t xml:space="preserve">42.8%</t>
    </r>
  </si>
  <si>
    <t xml:space="preserve">若大盘$1.5–2.5B→xTool GMV$640M–1.07B</t>
  </si>
  <si>
    <r>
      <rPr>
        <sz val="10"/>
        <rFont val="Arial"/>
        <family val="0"/>
        <charset val="1"/>
      </rPr>
      <t xml:space="preserve">xTool 2024</t>
    </r>
    <r>
      <rPr>
        <sz val="10"/>
        <rFont val="Noto Sans CJK SC"/>
        <family val="2"/>
      </rPr>
      <t xml:space="preserve">营收≈</t>
    </r>
    <r>
      <rPr>
        <sz val="10"/>
        <rFont val="Arial"/>
        <family val="0"/>
        <charset val="1"/>
      </rPr>
      <t xml:space="preserve">$345M(</t>
    </r>
    <r>
      <rPr>
        <sz val="10"/>
        <rFont val="Noto Sans CJK SC"/>
        <family val="2"/>
      </rPr>
      <t xml:space="preserve">收入≠</t>
    </r>
    <r>
      <rPr>
        <sz val="10"/>
        <rFont val="Arial"/>
        <family val="0"/>
        <charset val="1"/>
      </rPr>
      <t xml:space="preserve">GMV)</t>
    </r>
  </si>
  <si>
    <t xml:space="preserve">量级合理(GMV含渠道加价&gt;出厂收入)</t>
  </si>
  <si>
    <t xml:space="preserve">前十份额合计≈100%</t>
  </si>
  <si>
    <t xml:space="preserve">消费雕刻GMV/全球/2025前9月</t>
  </si>
  <si>
    <t xml:space="preserve">xTool 47%</t>
  </si>
  <si>
    <t xml:space="preserve">第2–10名合计&lt;47%</t>
  </si>
  <si>
    <r>
      <rPr>
        <sz val="10"/>
        <rFont val="Arial"/>
        <family val="0"/>
        <charset val="1"/>
      </rPr>
      <t xml:space="preserve">47%&gt;2</t>
    </r>
    <r>
      <rPr>
        <sz val="10"/>
        <rFont val="Noto Sans CJK SC"/>
        <family val="2"/>
      </rPr>
      <t xml:space="preserve">至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名之和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招股书</t>
    </r>
    <r>
      <rPr>
        <sz val="10"/>
        <rFont val="Arial"/>
        <family val="0"/>
        <charset val="1"/>
      </rPr>
      <t xml:space="preserve">)</t>
    </r>
  </si>
  <si>
    <t xml:space="preserve">头部高度集中,闭合(其余&lt;53%分散)</t>
  </si>
  <si>
    <t xml:space="preserve">材料成本÷营收</t>
  </si>
  <si>
    <r>
      <rPr>
        <sz val="10"/>
        <rFont val="Arial"/>
        <family val="0"/>
        <charset val="1"/>
      </rPr>
      <t xml:space="preserve">xTool/</t>
    </r>
    <r>
      <rPr>
        <sz val="10"/>
        <rFont val="Noto Sans CJK SC"/>
        <family val="2"/>
      </rPr>
      <t xml:space="preserve">全球</t>
    </r>
    <r>
      <rPr>
        <sz val="10"/>
        <rFont val="Arial"/>
        <family val="0"/>
        <charset val="1"/>
      </rPr>
      <t xml:space="preserve">/2024</t>
    </r>
  </si>
  <si>
    <t xml:space="preserve">材料成本占营收~30%</t>
  </si>
  <si>
    <t xml:space="preserve">毛利率54.4%</t>
  </si>
  <si>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材料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其余成本≈</t>
    </r>
    <r>
      <rPr>
        <sz val="10"/>
        <rFont val="Arial"/>
        <family val="0"/>
        <charset val="1"/>
      </rPr>
      <t xml:space="preserve">45.6%</t>
    </r>
    <r>
      <rPr>
        <sz val="10"/>
        <rFont val="Noto Sans CJK SC"/>
        <family val="2"/>
      </rPr>
      <t xml:space="preserve">营业成本</t>
    </r>
  </si>
  <si>
    <r>
      <rPr>
        <sz val="10"/>
        <rFont val="Arial"/>
        <family val="0"/>
        <charset val="1"/>
      </rPr>
      <t xml:space="preserve">1−</t>
    </r>
    <r>
      <rPr>
        <sz val="10"/>
        <rFont val="Noto Sans CJK SC"/>
        <family val="2"/>
      </rPr>
      <t xml:space="preserve">毛利率</t>
    </r>
    <r>
      <rPr>
        <sz val="10"/>
        <rFont val="Arial"/>
        <family val="0"/>
        <charset val="1"/>
      </rPr>
      <t xml:space="preserve">=45.6%</t>
    </r>
  </si>
  <si>
    <t xml:space="preserve">对得上(运费等占其余)</t>
  </si>
  <si>
    <t xml:space="preserve">地区占比合计≈100%</t>
  </si>
  <si>
    <r>
      <rPr>
        <sz val="10"/>
        <rFont val="Arial"/>
        <family val="0"/>
        <charset val="1"/>
      </rPr>
      <t xml:space="preserve">xTool</t>
    </r>
    <r>
      <rPr>
        <sz val="10"/>
        <rFont val="Noto Sans CJK SC"/>
        <family val="2"/>
      </rPr>
      <t xml:space="preserve">营收</t>
    </r>
    <r>
      <rPr>
        <sz val="10"/>
        <rFont val="Arial"/>
        <family val="0"/>
        <charset val="1"/>
      </rPr>
      <t xml:space="preserve">/2025</t>
    </r>
    <r>
      <rPr>
        <sz val="10"/>
        <rFont val="Noto Sans CJK SC"/>
        <family val="2"/>
      </rPr>
      <t xml:space="preserve">前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</t>
    </r>
  </si>
  <si>
    <t xml:space="preserve">美54.8%+欧30.3%</t>
  </si>
  <si>
    <t xml:space="preserve">其他14.9%</t>
  </si>
  <si>
    <t xml:space="preserve">闭合</t>
  </si>
  <si>
    <t xml:space="preserve">自下而上SOM vs 自上而下大盘</t>
  </si>
  <si>
    <t xml:space="preserve">待第8节</t>
  </si>
  <si>
    <t xml:space="preserve">人群×渗透×单价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</si>
  <si>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用户拍板后测算</t>
    </r>
    <r>
      <rPr>
        <sz val="10"/>
        <rFont val="Arial"/>
        <family val="0"/>
        <charset val="1"/>
      </rPr>
      <t xml:space="preserve">)</t>
    </r>
  </si>
  <si>
    <t xml:space="preserve">第1节大盘$1.5–2.5B</t>
  </si>
  <si>
    <t xml:space="preserve">第8节补(需量级一致)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</si>
</sst>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.0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F5496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C0392B"/>
      <name val="Noto Sans CJK SC"/>
      <family val="2"/>
      <charset val="1"/>
    </font>
    <font>
      <i val="true"/>
      <sz val="9"/>
      <color rgb="FF888888"/>
      <name val="Noto Sans CJK SC"/>
      <family val="2"/>
      <charset val="1"/>
    </font>
    <font>
      <b val="true"/>
      <sz val="10"/>
      <color rgb="FF2F5496"/>
      <name val="Arial"/>
      <family val="0"/>
      <charset val="1"/>
    </font>
    <font>
      <b val="true"/>
      <sz val="10"/>
      <color rgb="FF2F5496"/>
      <name val="Noto Sans CJK SC"/>
      <family val="2"/>
    </font>
    <font>
      <b val="true"/>
      <sz val="10"/>
      <color rgb="FF2F5496"/>
      <name val="Noto Sans CJK SC"/>
      <family val="2"/>
      <charset val="1"/>
    </font>
    <font>
      <b val="true"/>
      <sz val="11"/>
      <color rgb="FF2F5496"/>
      <name val="Noto Sans CJK SC"/>
      <family val="2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Noto Sans CJK SC"/>
      <family val="2"/>
      <charset val="1"/>
    </font>
    <font>
      <sz val="10"/>
      <color rgb="FF0000FF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name val="Cambria"/>
      <family val="0"/>
      <charset val="1"/>
    </font>
    <font>
      <i val="true"/>
      <sz val="9"/>
      <name val="Noto Sans CJK SC"/>
      <family val="2"/>
    </font>
    <font>
      <b val="true"/>
      <sz val="11"/>
      <color rgb="FF1A7F37"/>
      <name val="Cambria"/>
      <family val="0"/>
      <charset val="1"/>
    </font>
    <font>
      <b val="true"/>
      <sz val="11"/>
      <color rgb="FFB58100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8E6"/>
        <bgColor rgb="FFFFFFFF"/>
      </patternFill>
    </fill>
    <fill>
      <patternFill patternType="solid">
        <fgColor rgb="FFF4CCCC"/>
        <bgColor rgb="FFD9D9D9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F37"/>
      <rgbColor rgb="FF000080"/>
      <rgbColor rgb="FFB58100"/>
      <rgbColor rgb="FF800080"/>
      <rgbColor rgb="FF008080"/>
      <rgbColor rgb="FFC0C0C0"/>
      <rgbColor rgb="FF888888"/>
      <rgbColor rgb="FF9999FF"/>
      <rgbColor rgb="FF993366"/>
      <rgbColor rgb="FFFFF8E6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6" min="5" style="1" width="26"/>
    <col collapsed="false" customWidth="true" hidden="false" outlineLevel="0" max="7" min="7" style="1" width="12"/>
    <col collapsed="false" customWidth="true" hidden="false" outlineLevel="0" max="8" min="8" style="1" width="20"/>
  </cols>
  <sheetData>
    <row r="1" customFormat="false" ht="18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true" outlineLevel="0" collapsed="false">
      <c r="A4" s="4" t="s">
        <v>9</v>
      </c>
      <c r="B4" s="4" t="s">
        <v>10</v>
      </c>
      <c r="C4" s="4" t="s">
        <v>11</v>
      </c>
      <c r="D4" s="5" t="s">
        <v>12</v>
      </c>
      <c r="E4" s="4" t="s">
        <v>13</v>
      </c>
      <c r="F4" s="5" t="s">
        <v>14</v>
      </c>
      <c r="G4" s="5" t="s">
        <v>15</v>
      </c>
      <c r="H4" s="4" t="s">
        <v>16</v>
      </c>
    </row>
    <row r="5" customFormat="false" ht="15" hidden="false" customHeight="true" outlineLevel="0" collapsed="false">
      <c r="A5" s="4" t="s">
        <v>9</v>
      </c>
      <c r="B5" s="4" t="s">
        <v>10</v>
      </c>
      <c r="C5" s="4" t="s">
        <v>17</v>
      </c>
      <c r="D5" s="5" t="s">
        <v>18</v>
      </c>
      <c r="E5" s="6" t="s">
        <v>19</v>
      </c>
      <c r="F5" s="5" t="s">
        <v>20</v>
      </c>
      <c r="G5" s="5" t="s">
        <v>21</v>
      </c>
      <c r="H5" s="4" t="s">
        <v>22</v>
      </c>
    </row>
    <row r="6" customFormat="false" ht="26.25" hidden="false" customHeight="true" outlineLevel="0" collapsed="false">
      <c r="A6" s="4" t="s">
        <v>23</v>
      </c>
      <c r="B6" s="4" t="s">
        <v>10</v>
      </c>
      <c r="C6" s="4" t="s">
        <v>24</v>
      </c>
      <c r="D6" s="5" t="s">
        <v>18</v>
      </c>
      <c r="E6" s="7" t="s">
        <v>25</v>
      </c>
      <c r="F6" s="4" t="s">
        <v>26</v>
      </c>
      <c r="G6" s="5" t="s">
        <v>27</v>
      </c>
      <c r="H6" s="4" t="s">
        <v>28</v>
      </c>
    </row>
    <row r="7" customFormat="false" ht="29.25" hidden="false" customHeight="true" outlineLevel="0" collapsed="false">
      <c r="A7" s="4" t="s">
        <v>29</v>
      </c>
      <c r="B7" s="4" t="s">
        <v>10</v>
      </c>
      <c r="C7" s="5" t="s">
        <v>30</v>
      </c>
      <c r="D7" s="5" t="s">
        <v>31</v>
      </c>
      <c r="E7" s="7" t="s">
        <v>32</v>
      </c>
      <c r="F7" s="4" t="s">
        <v>33</v>
      </c>
      <c r="G7" s="5" t="s">
        <v>34</v>
      </c>
      <c r="H7" s="4" t="s">
        <v>35</v>
      </c>
    </row>
    <row r="8" customFormat="false" ht="15" hidden="false" customHeight="true" outlineLevel="0" collapsed="false">
      <c r="A8" s="4" t="s">
        <v>36</v>
      </c>
      <c r="B8" s="4" t="s">
        <v>10</v>
      </c>
      <c r="C8" s="4" t="s">
        <v>37</v>
      </c>
      <c r="D8" s="5" t="s">
        <v>38</v>
      </c>
      <c r="E8" s="6" t="s">
        <v>39</v>
      </c>
      <c r="F8" s="5" t="s">
        <v>40</v>
      </c>
      <c r="G8" s="5" t="s">
        <v>41</v>
      </c>
      <c r="H8" s="4" t="s">
        <v>42</v>
      </c>
    </row>
    <row r="9" customFormat="false" ht="15" hidden="false" customHeight="true" outlineLevel="0" collapsed="false">
      <c r="A9" s="4" t="s">
        <v>36</v>
      </c>
      <c r="B9" s="4" t="s">
        <v>10</v>
      </c>
      <c r="C9" s="4" t="s">
        <v>37</v>
      </c>
      <c r="D9" s="5" t="s">
        <v>43</v>
      </c>
      <c r="E9" s="6" t="s">
        <v>44</v>
      </c>
      <c r="F9" s="4" t="s">
        <v>45</v>
      </c>
      <c r="G9" s="5" t="s">
        <v>41</v>
      </c>
      <c r="H9" s="4" t="s">
        <v>42</v>
      </c>
    </row>
    <row r="10" customFormat="false" ht="15" hidden="false" customHeight="true" outlineLevel="0" collapsed="false">
      <c r="A10" s="4" t="s">
        <v>36</v>
      </c>
      <c r="B10" s="4" t="s">
        <v>10</v>
      </c>
      <c r="C10" s="4" t="s">
        <v>37</v>
      </c>
      <c r="D10" s="5" t="s">
        <v>46</v>
      </c>
      <c r="E10" s="6" t="s">
        <v>47</v>
      </c>
      <c r="F10" s="4" t="s">
        <v>45</v>
      </c>
      <c r="G10" s="5" t="s">
        <v>41</v>
      </c>
      <c r="H10" s="4" t="s">
        <v>42</v>
      </c>
    </row>
    <row r="11" customFormat="false" ht="29.25" hidden="false" customHeight="true" outlineLevel="0" collapsed="false">
      <c r="A11" s="5" t="s">
        <v>48</v>
      </c>
      <c r="B11" s="4" t="s">
        <v>10</v>
      </c>
      <c r="C11" s="5" t="s">
        <v>30</v>
      </c>
      <c r="D11" s="5" t="s">
        <v>18</v>
      </c>
      <c r="E11" s="6" t="s">
        <v>49</v>
      </c>
      <c r="F11" s="5" t="s">
        <v>50</v>
      </c>
      <c r="G11" s="5" t="s">
        <v>51</v>
      </c>
      <c r="H11" s="4" t="s">
        <v>52</v>
      </c>
    </row>
    <row r="12" customFormat="false" ht="26.25" hidden="false" customHeight="true" outlineLevel="0" collapsed="false">
      <c r="A12" s="5" t="s">
        <v>53</v>
      </c>
      <c r="B12" s="4" t="s">
        <v>10</v>
      </c>
      <c r="C12" s="5" t="s">
        <v>30</v>
      </c>
      <c r="D12" s="5" t="s">
        <v>54</v>
      </c>
      <c r="E12" s="6" t="s">
        <v>55</v>
      </c>
      <c r="F12" s="5" t="s">
        <v>56</v>
      </c>
      <c r="G12" s="5" t="s">
        <v>51</v>
      </c>
      <c r="H12" s="4" t="s">
        <v>57</v>
      </c>
    </row>
    <row r="13" customFormat="false" ht="29.25" hidden="false" customHeight="true" outlineLevel="0" collapsed="false">
      <c r="A13" s="4" t="s">
        <v>58</v>
      </c>
      <c r="B13" s="4" t="s">
        <v>59</v>
      </c>
      <c r="C13" s="4" t="s">
        <v>60</v>
      </c>
      <c r="D13" s="5" t="s">
        <v>46</v>
      </c>
      <c r="E13" s="7" t="s">
        <v>61</v>
      </c>
      <c r="F13" s="5" t="s">
        <v>40</v>
      </c>
      <c r="G13" s="5" t="s">
        <v>62</v>
      </c>
      <c r="H13" s="4" t="s">
        <v>63</v>
      </c>
    </row>
    <row r="14" customFormat="false" ht="29.25" hidden="false" customHeight="true" outlineLevel="0" collapsed="false">
      <c r="A14" s="4" t="s">
        <v>58</v>
      </c>
      <c r="B14" s="4" t="s">
        <v>59</v>
      </c>
      <c r="C14" s="4" t="s">
        <v>60</v>
      </c>
      <c r="D14" s="5" t="s">
        <v>12</v>
      </c>
      <c r="E14" s="7" t="s">
        <v>64</v>
      </c>
      <c r="F14" s="5" t="s">
        <v>65</v>
      </c>
      <c r="G14" s="5" t="s">
        <v>62</v>
      </c>
      <c r="H14" s="4" t="s">
        <v>42</v>
      </c>
    </row>
    <row r="15" customFormat="false" ht="23.25" hidden="false" customHeight="true" outlineLevel="0" collapsed="false">
      <c r="A15" s="4" t="s">
        <v>66</v>
      </c>
      <c r="B15" s="4" t="s">
        <v>59</v>
      </c>
      <c r="C15" s="4" t="s">
        <v>60</v>
      </c>
      <c r="D15" s="5" t="s">
        <v>46</v>
      </c>
      <c r="E15" s="7" t="s">
        <v>67</v>
      </c>
      <c r="F15" s="5" t="s">
        <v>68</v>
      </c>
      <c r="G15" s="5" t="s">
        <v>69</v>
      </c>
      <c r="H15" s="4" t="s">
        <v>70</v>
      </c>
    </row>
    <row r="17" customFormat="false" ht="15" hidden="false" customHeight="true" outlineLevel="0" collapsed="false">
      <c r="A17" s="8" t="s">
        <v>71</v>
      </c>
      <c r="B17" s="8"/>
      <c r="C17" s="8"/>
      <c r="D17" s="8"/>
      <c r="E17" s="8"/>
      <c r="F17" s="8"/>
      <c r="G17" s="8"/>
      <c r="H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  <c r="G19" s="8"/>
      <c r="H19" s="8"/>
    </row>
  </sheetData>
  <mergeCells count="1">
    <mergeCell ref="A17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10"/>
  </cols>
  <sheetData>
    <row r="1" customFormat="false" ht="18.75" hidden="false" customHeight="true" outlineLevel="0" collapsed="false">
      <c r="A1" s="2" t="s">
        <v>72</v>
      </c>
    </row>
    <row r="3" customFormat="false" ht="15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8</v>
      </c>
    </row>
    <row r="4" customFormat="false" ht="29.25" hidden="false" customHeight="true" outlineLevel="0" collapsed="false">
      <c r="A4" s="4" t="s">
        <v>77</v>
      </c>
      <c r="B4" s="7" t="s">
        <v>78</v>
      </c>
      <c r="C4" s="7" t="s">
        <v>79</v>
      </c>
      <c r="D4" s="4" t="s">
        <v>80</v>
      </c>
      <c r="E4" s="4" t="s">
        <v>81</v>
      </c>
    </row>
    <row r="5" customFormat="false" ht="29.25" hidden="false" customHeight="true" outlineLevel="0" collapsed="false">
      <c r="A5" s="4" t="s">
        <v>82</v>
      </c>
      <c r="B5" s="7" t="s">
        <v>83</v>
      </c>
      <c r="C5" s="7" t="s">
        <v>84</v>
      </c>
      <c r="D5" s="4" t="s">
        <v>85</v>
      </c>
      <c r="E5" s="4" t="s">
        <v>81</v>
      </c>
    </row>
    <row r="6" customFormat="false" ht="29.25" hidden="false" customHeight="true" outlineLevel="0" collapsed="false">
      <c r="A6" s="4" t="s">
        <v>59</v>
      </c>
      <c r="B6" s="7" t="s">
        <v>86</v>
      </c>
      <c r="C6" s="7" t="s">
        <v>87</v>
      </c>
      <c r="D6" s="4" t="s">
        <v>88</v>
      </c>
      <c r="E6" s="4" t="s">
        <v>81</v>
      </c>
    </row>
    <row r="7" customFormat="false" ht="15" hidden="false" customHeight="true" outlineLevel="0" collapsed="false">
      <c r="A7" s="4" t="s">
        <v>89</v>
      </c>
      <c r="B7" s="7" t="s">
        <v>90</v>
      </c>
      <c r="C7" s="7" t="s">
        <v>91</v>
      </c>
      <c r="D7" s="4" t="s">
        <v>92</v>
      </c>
      <c r="E7" s="4" t="s">
        <v>42</v>
      </c>
    </row>
    <row r="8" customFormat="false" ht="15" hidden="false" customHeight="true" outlineLevel="0" collapsed="false">
      <c r="A8" s="4" t="s">
        <v>93</v>
      </c>
      <c r="B8" s="7" t="s">
        <v>94</v>
      </c>
      <c r="C8" s="7" t="s">
        <v>95</v>
      </c>
      <c r="D8" s="4" t="s">
        <v>96</v>
      </c>
      <c r="E8" s="4" t="s">
        <v>42</v>
      </c>
    </row>
    <row r="10" customFormat="false" ht="15" hidden="false" customHeight="true" outlineLevel="0" collapsed="false">
      <c r="A10" s="9" t="s">
        <v>97</v>
      </c>
      <c r="B10" s="9"/>
      <c r="C10" s="9"/>
      <c r="D10" s="9"/>
      <c r="E10" s="9"/>
    </row>
    <row r="11" customFormat="false" ht="15" hidden="false" customHeight="true" outlineLevel="0" collapsed="false">
      <c r="A11" s="9"/>
      <c r="B11" s="9"/>
      <c r="C11" s="9"/>
      <c r="D11" s="9"/>
      <c r="E11" s="9"/>
    </row>
  </sheetData>
  <mergeCells count="1">
    <mergeCell ref="A10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4" min="3" style="1" width="15"/>
    <col collapsed="false" customWidth="true" hidden="false" outlineLevel="0" max="5" min="5" style="1" width="16"/>
    <col collapsed="false" customWidth="true" hidden="false" outlineLevel="0" max="6" min="6" style="1" width="34"/>
  </cols>
  <sheetData>
    <row r="1" customFormat="false" ht="18.75" hidden="false" customHeight="true" outlineLevel="0" collapsed="false">
      <c r="A1" s="2" t="s">
        <v>98</v>
      </c>
    </row>
    <row r="3" customFormat="false" ht="15" hidden="false" customHeight="true" outlineLevel="0" collapsed="false">
      <c r="A3" s="3" t="s">
        <v>99</v>
      </c>
      <c r="B3" s="3" t="s">
        <v>100</v>
      </c>
      <c r="C3" s="3" t="s">
        <v>101</v>
      </c>
      <c r="D3" s="3" t="s">
        <v>102</v>
      </c>
      <c r="E3" s="3" t="s">
        <v>103</v>
      </c>
      <c r="F3" s="3" t="s">
        <v>104</v>
      </c>
    </row>
    <row r="4" customFormat="false" ht="15" hidden="false" customHeight="true" outlineLevel="0" collapsed="false">
      <c r="A4" s="4" t="s">
        <v>105</v>
      </c>
      <c r="B4" s="10" t="n">
        <v>8</v>
      </c>
      <c r="C4" s="11" t="n">
        <v>5</v>
      </c>
      <c r="D4" s="11" t="n">
        <v>2</v>
      </c>
      <c r="E4" s="12" t="n">
        <v>0</v>
      </c>
      <c r="F4" s="4" t="s">
        <v>106</v>
      </c>
    </row>
    <row r="5" customFormat="false" ht="15" hidden="false" customHeight="true" outlineLevel="0" collapsed="false">
      <c r="A5" s="4" t="s">
        <v>107</v>
      </c>
      <c r="B5" s="10" t="n">
        <v>10</v>
      </c>
      <c r="C5" s="11" t="n">
        <v>6</v>
      </c>
      <c r="D5" s="11" t="n">
        <v>1</v>
      </c>
      <c r="E5" s="12" t="n">
        <v>0</v>
      </c>
      <c r="F5" s="4" t="s">
        <v>108</v>
      </c>
    </row>
    <row r="6" customFormat="false" ht="15" hidden="false" customHeight="true" outlineLevel="0" collapsed="false">
      <c r="A6" s="4" t="s">
        <v>109</v>
      </c>
      <c r="B6" s="11" t="n">
        <v>2</v>
      </c>
      <c r="C6" s="10" t="n">
        <v>9</v>
      </c>
      <c r="D6" s="11" t="n">
        <v>5</v>
      </c>
      <c r="E6" s="11" t="n">
        <v>1</v>
      </c>
      <c r="F6" s="4" t="s">
        <v>110</v>
      </c>
    </row>
    <row r="7" customFormat="false" ht="15" hidden="false" customHeight="true" outlineLevel="0" collapsed="false">
      <c r="A7" s="4" t="s">
        <v>111</v>
      </c>
      <c r="B7" s="12" t="n">
        <v>0</v>
      </c>
      <c r="C7" s="11" t="n">
        <v>3</v>
      </c>
      <c r="D7" s="11" t="n">
        <v>7</v>
      </c>
      <c r="E7" s="11" t="n">
        <v>6</v>
      </c>
      <c r="F7" s="4" t="s">
        <v>112</v>
      </c>
    </row>
    <row r="8" customFormat="false" ht="15" hidden="false" customHeight="true" outlineLevel="0" collapsed="false">
      <c r="A8" s="4" t="s">
        <v>113</v>
      </c>
      <c r="B8" s="11" t="n">
        <v>1</v>
      </c>
      <c r="C8" s="11" t="n">
        <v>5</v>
      </c>
      <c r="D8" s="11" t="n">
        <v>6</v>
      </c>
      <c r="E8" s="11" t="n">
        <v>4</v>
      </c>
      <c r="F8" s="4" t="s">
        <v>114</v>
      </c>
    </row>
    <row r="9" customFormat="false" ht="15" hidden="false" customHeight="true" outlineLevel="0" collapsed="false">
      <c r="A9" s="4" t="s">
        <v>115</v>
      </c>
      <c r="B9" s="12" t="n">
        <v>0</v>
      </c>
      <c r="C9" s="11" t="n">
        <v>3</v>
      </c>
      <c r="D9" s="11" t="n">
        <v>7</v>
      </c>
      <c r="E9" s="11" t="n">
        <v>5</v>
      </c>
      <c r="F9" s="4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7" min="7" style="1" width="30"/>
    <col collapsed="false" customWidth="true" hidden="false" outlineLevel="0" max="8" min="8" style="1" width="18"/>
    <col collapsed="false" customWidth="true" hidden="false" outlineLevel="0" max="10" min="9" style="1" width="22"/>
  </cols>
  <sheetData>
    <row r="1" customFormat="false" ht="15" hidden="false" customHeight="true" outlineLevel="0" collapsed="false">
      <c r="A1" s="2" t="s">
        <v>117</v>
      </c>
    </row>
    <row r="3" customFormat="false" ht="15" hidden="false" customHeight="true" outlineLevel="0" collapsed="false">
      <c r="A3" s="3" t="s">
        <v>118</v>
      </c>
      <c r="B3" s="3" t="s">
        <v>119</v>
      </c>
      <c r="C3" s="3" t="s">
        <v>120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125</v>
      </c>
      <c r="I3" s="3" t="s">
        <v>126</v>
      </c>
      <c r="J3" s="3" t="s">
        <v>127</v>
      </c>
    </row>
    <row r="4" customFormat="false" ht="29.25" hidden="false" customHeight="true" outlineLevel="0" collapsed="false">
      <c r="A4" s="13" t="s">
        <v>128</v>
      </c>
      <c r="B4" s="14" t="s">
        <v>129</v>
      </c>
      <c r="C4" s="14" t="s">
        <v>130</v>
      </c>
      <c r="D4" s="13" t="s">
        <v>131</v>
      </c>
      <c r="E4" s="14" t="s">
        <v>132</v>
      </c>
      <c r="F4" s="13" t="s">
        <v>133</v>
      </c>
      <c r="G4" s="14" t="s">
        <v>134</v>
      </c>
      <c r="H4" s="13" t="s">
        <v>135</v>
      </c>
      <c r="I4" s="14" t="s">
        <v>136</v>
      </c>
      <c r="J4" s="14" t="s">
        <v>137</v>
      </c>
    </row>
    <row r="5" customFormat="false" ht="29.25" hidden="false" customHeight="true" outlineLevel="0" collapsed="false">
      <c r="A5" s="5" t="s">
        <v>138</v>
      </c>
      <c r="B5" s="4" t="s">
        <v>139</v>
      </c>
      <c r="C5" s="4" t="s">
        <v>140</v>
      </c>
      <c r="D5" s="5" t="s">
        <v>141</v>
      </c>
      <c r="E5" s="5" t="s">
        <v>142</v>
      </c>
      <c r="F5" s="5" t="s">
        <v>143</v>
      </c>
      <c r="G5" s="4" t="s">
        <v>144</v>
      </c>
      <c r="H5" s="4" t="s">
        <v>145</v>
      </c>
      <c r="I5" s="4" t="s">
        <v>146</v>
      </c>
      <c r="J5" s="4" t="s">
        <v>147</v>
      </c>
    </row>
    <row r="6" customFormat="false" ht="29.25" hidden="false" customHeight="true" outlineLevel="0" collapsed="false">
      <c r="A6" s="5" t="s">
        <v>148</v>
      </c>
      <c r="B6" s="4" t="s">
        <v>129</v>
      </c>
      <c r="C6" s="4" t="s">
        <v>149</v>
      </c>
      <c r="D6" s="5" t="s">
        <v>150</v>
      </c>
      <c r="E6" s="4" t="s">
        <v>151</v>
      </c>
      <c r="F6" s="5" t="s">
        <v>152</v>
      </c>
      <c r="G6" s="4" t="s">
        <v>153</v>
      </c>
      <c r="H6" s="5" t="s">
        <v>154</v>
      </c>
      <c r="I6" s="4" t="s">
        <v>155</v>
      </c>
      <c r="J6" s="4" t="s">
        <v>156</v>
      </c>
    </row>
    <row r="7" customFormat="false" ht="26.25" hidden="false" customHeight="true" outlineLevel="0" collapsed="false">
      <c r="A7" s="5" t="s">
        <v>157</v>
      </c>
      <c r="B7" s="4" t="s">
        <v>129</v>
      </c>
      <c r="C7" s="5" t="s">
        <v>158</v>
      </c>
      <c r="D7" s="5" t="s">
        <v>159</v>
      </c>
      <c r="E7" s="4" t="s">
        <v>160</v>
      </c>
      <c r="F7" s="5" t="s">
        <v>161</v>
      </c>
      <c r="G7" s="5" t="s">
        <v>162</v>
      </c>
      <c r="H7" s="5" t="s">
        <v>154</v>
      </c>
      <c r="I7" s="4" t="s">
        <v>163</v>
      </c>
      <c r="J7" s="4" t="s">
        <v>164</v>
      </c>
    </row>
    <row r="8" customFormat="false" ht="15" hidden="false" customHeight="true" outlineLevel="0" collapsed="false">
      <c r="A8" s="5" t="s">
        <v>165</v>
      </c>
      <c r="B8" s="4" t="s">
        <v>129</v>
      </c>
      <c r="C8" s="4" t="s">
        <v>166</v>
      </c>
      <c r="D8" s="5" t="s">
        <v>167</v>
      </c>
      <c r="E8" s="4" t="s">
        <v>168</v>
      </c>
      <c r="F8" s="5" t="s">
        <v>169</v>
      </c>
      <c r="G8" s="4" t="s">
        <v>170</v>
      </c>
      <c r="H8" s="5" t="s">
        <v>171</v>
      </c>
      <c r="I8" s="4" t="s">
        <v>172</v>
      </c>
      <c r="J8" s="4" t="s">
        <v>173</v>
      </c>
    </row>
    <row r="9" customFormat="false" ht="15" hidden="false" customHeight="true" outlineLevel="0" collapsed="false">
      <c r="A9" s="5" t="s">
        <v>174</v>
      </c>
      <c r="B9" s="4" t="s">
        <v>129</v>
      </c>
      <c r="C9" s="4" t="s">
        <v>175</v>
      </c>
      <c r="D9" s="5" t="s">
        <v>176</v>
      </c>
      <c r="E9" s="4" t="s">
        <v>168</v>
      </c>
      <c r="F9" s="5" t="s">
        <v>177</v>
      </c>
      <c r="G9" s="4" t="s">
        <v>178</v>
      </c>
      <c r="H9" s="5" t="s">
        <v>171</v>
      </c>
      <c r="I9" s="4" t="s">
        <v>172</v>
      </c>
      <c r="J9" s="4" t="s">
        <v>179</v>
      </c>
    </row>
    <row r="10" customFormat="false" ht="29.25" hidden="false" customHeight="true" outlineLevel="0" collapsed="false">
      <c r="A10" s="5" t="s">
        <v>180</v>
      </c>
      <c r="B10" s="4" t="s">
        <v>129</v>
      </c>
      <c r="C10" s="4" t="s">
        <v>181</v>
      </c>
      <c r="D10" s="5" t="s">
        <v>182</v>
      </c>
      <c r="E10" s="4" t="s">
        <v>183</v>
      </c>
      <c r="F10" s="5" t="s">
        <v>184</v>
      </c>
      <c r="G10" s="4" t="s">
        <v>185</v>
      </c>
      <c r="H10" s="4" t="s">
        <v>186</v>
      </c>
      <c r="I10" s="4" t="s">
        <v>187</v>
      </c>
      <c r="J10" s="4" t="s">
        <v>188</v>
      </c>
    </row>
    <row r="11" customFormat="false" ht="15" hidden="false" customHeight="true" outlineLevel="0" collapsed="false">
      <c r="A11" s="5" t="s">
        <v>189</v>
      </c>
      <c r="B11" s="4" t="s">
        <v>129</v>
      </c>
      <c r="C11" s="4" t="s">
        <v>190</v>
      </c>
      <c r="D11" s="5" t="s">
        <v>191</v>
      </c>
      <c r="E11" s="4" t="s">
        <v>192</v>
      </c>
      <c r="F11" s="5" t="s">
        <v>193</v>
      </c>
      <c r="G11" s="4" t="s">
        <v>194</v>
      </c>
      <c r="H11" s="4" t="s">
        <v>195</v>
      </c>
      <c r="I11" s="4" t="s">
        <v>196</v>
      </c>
      <c r="J11" s="4" t="s">
        <v>197</v>
      </c>
    </row>
    <row r="12" customFormat="false" ht="29.25" hidden="false" customHeight="true" outlineLevel="0" collapsed="false">
      <c r="A12" s="15" t="s">
        <v>198</v>
      </c>
      <c r="B12" s="16" t="s">
        <v>129</v>
      </c>
      <c r="C12" s="16" t="s">
        <v>199</v>
      </c>
      <c r="D12" s="15" t="s">
        <v>200</v>
      </c>
      <c r="E12" s="16" t="s">
        <v>201</v>
      </c>
      <c r="F12" s="15" t="s">
        <v>202</v>
      </c>
      <c r="G12" s="16" t="s">
        <v>203</v>
      </c>
      <c r="H12" s="15" t="s">
        <v>204</v>
      </c>
      <c r="I12" s="16" t="s">
        <v>205</v>
      </c>
      <c r="J12" s="16" t="s">
        <v>206</v>
      </c>
    </row>
    <row r="13" customFormat="false" ht="15" hidden="false" customHeight="true" outlineLevel="0" collapsed="false">
      <c r="A13" s="16" t="s">
        <v>207</v>
      </c>
      <c r="B13" s="16" t="s">
        <v>129</v>
      </c>
      <c r="C13" s="16" t="s">
        <v>208</v>
      </c>
      <c r="D13" s="15" t="s">
        <v>209</v>
      </c>
      <c r="E13" s="16" t="s">
        <v>210</v>
      </c>
      <c r="F13" s="15" t="s">
        <v>40</v>
      </c>
      <c r="G13" s="16" t="s">
        <v>211</v>
      </c>
      <c r="H13" s="15" t="s">
        <v>40</v>
      </c>
      <c r="I13" s="15" t="s">
        <v>40</v>
      </c>
      <c r="J13" s="16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42"/>
  </cols>
  <sheetData>
    <row r="1" customFormat="false" ht="18.75" hidden="false" customHeight="true" outlineLevel="0" collapsed="false">
      <c r="A1" s="2" t="s">
        <v>213</v>
      </c>
    </row>
    <row r="3" customFormat="false" ht="15" hidden="false" customHeight="true" outlineLevel="0" collapsed="false">
      <c r="A3" s="3" t="s">
        <v>214</v>
      </c>
      <c r="B3" s="3" t="s">
        <v>215</v>
      </c>
      <c r="C3" s="3" t="s">
        <v>216</v>
      </c>
      <c r="D3" s="3" t="s">
        <v>217</v>
      </c>
    </row>
    <row r="4" customFormat="false" ht="29.25" hidden="false" customHeight="true" outlineLevel="0" collapsed="false">
      <c r="A4" s="4" t="s">
        <v>218</v>
      </c>
      <c r="B4" s="4" t="s">
        <v>219</v>
      </c>
      <c r="C4" s="5" t="s">
        <v>220</v>
      </c>
      <c r="D4" s="4" t="s">
        <v>221</v>
      </c>
    </row>
    <row r="5" customFormat="false" ht="15" hidden="false" customHeight="true" outlineLevel="0" collapsed="false">
      <c r="A5" s="4" t="s">
        <v>222</v>
      </c>
      <c r="B5" s="4" t="s">
        <v>219</v>
      </c>
      <c r="C5" s="4" t="s">
        <v>223</v>
      </c>
      <c r="D5" s="4" t="s">
        <v>224</v>
      </c>
    </row>
    <row r="6" customFormat="false" ht="15" hidden="false" customHeight="true" outlineLevel="0" collapsed="false">
      <c r="A6" s="4" t="s">
        <v>225</v>
      </c>
      <c r="B6" s="4" t="s">
        <v>219</v>
      </c>
      <c r="C6" s="4" t="s">
        <v>226</v>
      </c>
      <c r="D6" s="5" t="s">
        <v>227</v>
      </c>
    </row>
    <row r="7" customFormat="false" ht="15" hidden="false" customHeight="true" outlineLevel="0" collapsed="false">
      <c r="A7" s="4" t="s">
        <v>228</v>
      </c>
      <c r="B7" s="4" t="s">
        <v>219</v>
      </c>
      <c r="C7" s="4" t="s">
        <v>229</v>
      </c>
      <c r="D7" s="5" t="s">
        <v>230</v>
      </c>
    </row>
    <row r="8" customFormat="false" ht="29.25" hidden="false" customHeight="true" outlineLevel="0" collapsed="false">
      <c r="A8" s="4" t="s">
        <v>231</v>
      </c>
      <c r="B8" s="4" t="s">
        <v>219</v>
      </c>
      <c r="C8" s="5" t="s">
        <v>232</v>
      </c>
      <c r="D8" s="4" t="s">
        <v>233</v>
      </c>
    </row>
    <row r="9" customFormat="false" ht="29.25" hidden="false" customHeight="true" outlineLevel="0" collapsed="false">
      <c r="A9" s="4" t="s">
        <v>234</v>
      </c>
      <c r="B9" s="4" t="s">
        <v>235</v>
      </c>
      <c r="C9" s="5" t="s">
        <v>236</v>
      </c>
      <c r="D9" s="4" t="s">
        <v>237</v>
      </c>
    </row>
    <row r="10" customFormat="false" ht="29.25" hidden="false" customHeight="true" outlineLevel="0" collapsed="false">
      <c r="A10" s="4" t="s">
        <v>238</v>
      </c>
      <c r="B10" s="4" t="s">
        <v>81</v>
      </c>
      <c r="C10" s="5" t="s">
        <v>239</v>
      </c>
      <c r="D10" s="4" t="s">
        <v>240</v>
      </c>
    </row>
    <row r="11" customFormat="false" ht="29.25" hidden="false" customHeight="true" outlineLevel="0" collapsed="false">
      <c r="A11" s="4" t="s">
        <v>241</v>
      </c>
      <c r="B11" s="4" t="s">
        <v>81</v>
      </c>
      <c r="C11" s="4" t="s">
        <v>242</v>
      </c>
      <c r="D11" s="4" t="s">
        <v>243</v>
      </c>
    </row>
    <row r="12" customFormat="false" ht="15" hidden="false" customHeight="true" outlineLevel="0" collapsed="false">
      <c r="A12" s="4" t="s">
        <v>244</v>
      </c>
      <c r="B12" s="4" t="s">
        <v>81</v>
      </c>
      <c r="C12" s="4" t="s">
        <v>245</v>
      </c>
      <c r="D12" s="4" t="s">
        <v>246</v>
      </c>
    </row>
    <row r="13" customFormat="false" ht="15" hidden="false" customHeight="true" outlineLevel="0" collapsed="false">
      <c r="A13" s="4" t="s">
        <v>247</v>
      </c>
      <c r="B13" s="4" t="s">
        <v>81</v>
      </c>
      <c r="C13" s="4" t="s">
        <v>248</v>
      </c>
      <c r="D13" s="4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6"/>
    <col collapsed="false" customWidth="true" hidden="false" outlineLevel="0" max="4" min="3" style="1" width="16"/>
  </cols>
  <sheetData>
    <row r="1" customFormat="false" ht="18.75" hidden="false" customHeight="true" outlineLevel="0" collapsed="false">
      <c r="A1" s="2" t="s">
        <v>250</v>
      </c>
    </row>
    <row r="3" customFormat="false" ht="15" hidden="false" customHeight="true" outlineLevel="0" collapsed="false">
      <c r="A3" s="3" t="s">
        <v>251</v>
      </c>
      <c r="B3" s="3" t="s">
        <v>252</v>
      </c>
      <c r="C3" s="3" t="s">
        <v>253</v>
      </c>
      <c r="D3" s="3" t="s">
        <v>254</v>
      </c>
    </row>
    <row r="4" customFormat="false" ht="43.5" hidden="false" customHeight="true" outlineLevel="0" collapsed="false">
      <c r="A4" s="4" t="s">
        <v>255</v>
      </c>
      <c r="B4" s="5" t="s">
        <v>256</v>
      </c>
      <c r="C4" s="4" t="s">
        <v>257</v>
      </c>
      <c r="D4" s="6" t="s">
        <v>258</v>
      </c>
    </row>
    <row r="5" customFormat="false" ht="29.25" hidden="false" customHeight="true" outlineLevel="0" collapsed="false">
      <c r="A5" s="4" t="s">
        <v>259</v>
      </c>
      <c r="B5" s="5" t="s">
        <v>260</v>
      </c>
      <c r="C5" s="4" t="s">
        <v>261</v>
      </c>
      <c r="D5" s="6" t="s">
        <v>262</v>
      </c>
    </row>
    <row r="6" customFormat="false" ht="15" hidden="false" customHeight="true" outlineLevel="0" collapsed="false">
      <c r="A6" s="4" t="s">
        <v>263</v>
      </c>
      <c r="B6" s="4" t="s">
        <v>261</v>
      </c>
      <c r="C6" s="4" t="s">
        <v>261</v>
      </c>
      <c r="D6" s="6" t="s">
        <v>264</v>
      </c>
    </row>
    <row r="7" customFormat="false" ht="15" hidden="false" customHeight="true" outlineLevel="0" collapsed="false">
      <c r="A7" s="4" t="s">
        <v>265</v>
      </c>
      <c r="B7" s="4" t="s">
        <v>261</v>
      </c>
      <c r="C7" s="4" t="s">
        <v>261</v>
      </c>
      <c r="D7" s="6" t="s">
        <v>266</v>
      </c>
    </row>
    <row r="8" customFormat="false" ht="15" hidden="false" customHeight="true" outlineLevel="0" collapsed="false">
      <c r="A8" s="4" t="s">
        <v>267</v>
      </c>
      <c r="B8" s="4" t="s">
        <v>261</v>
      </c>
      <c r="C8" s="4" t="s">
        <v>261</v>
      </c>
      <c r="D8" s="6" t="s">
        <v>262</v>
      </c>
    </row>
    <row r="9" customFormat="false" ht="15" hidden="false" customHeight="true" outlineLevel="0" collapsed="false">
      <c r="A9" s="4" t="s">
        <v>268</v>
      </c>
      <c r="B9" s="4" t="s">
        <v>269</v>
      </c>
      <c r="C9" s="4" t="s">
        <v>270</v>
      </c>
      <c r="D9" s="6" t="s">
        <v>271</v>
      </c>
    </row>
    <row r="10" customFormat="false" ht="15" hidden="false" customHeight="true" outlineLevel="0" collapsed="false">
      <c r="A10" s="4" t="s">
        <v>272</v>
      </c>
      <c r="B10" s="4" t="s">
        <v>261</v>
      </c>
      <c r="C10" s="4" t="s">
        <v>261</v>
      </c>
      <c r="D10" s="6" t="s">
        <v>273</v>
      </c>
    </row>
    <row r="11" customFormat="false" ht="15" hidden="false" customHeight="true" outlineLevel="0" collapsed="false">
      <c r="A11" s="4" t="s">
        <v>274</v>
      </c>
      <c r="B11" s="4" t="s">
        <v>253</v>
      </c>
      <c r="C11" s="4" t="s">
        <v>275</v>
      </c>
      <c r="D11" s="6" t="s">
        <v>276</v>
      </c>
    </row>
    <row r="12" customFormat="false" ht="15" hidden="false" customHeight="true" outlineLevel="0" collapsed="false">
      <c r="A12" s="4" t="s">
        <v>277</v>
      </c>
      <c r="B12" s="4" t="s">
        <v>261</v>
      </c>
      <c r="C12" s="4" t="s">
        <v>261</v>
      </c>
      <c r="D12" s="6" t="s">
        <v>264</v>
      </c>
    </row>
    <row r="13" customFormat="false" ht="15" hidden="false" customHeight="true" outlineLevel="0" collapsed="false">
      <c r="A13" s="17" t="s">
        <v>278</v>
      </c>
      <c r="C13" s="18" t="s">
        <v>279</v>
      </c>
      <c r="D13" s="19" t="s">
        <v>280</v>
      </c>
    </row>
    <row r="15" customFormat="false" ht="16.5" hidden="false" customHeight="true" outlineLevel="0" collapsed="false">
      <c r="A15" s="20" t="s">
        <v>281</v>
      </c>
    </row>
    <row r="16" customFormat="false" ht="15" hidden="false" customHeight="true" outlineLevel="0" collapsed="false">
      <c r="A16" s="3" t="s">
        <v>282</v>
      </c>
      <c r="B16" s="3" t="s">
        <v>283</v>
      </c>
      <c r="C16" s="3" t="s">
        <v>284</v>
      </c>
    </row>
    <row r="17" customFormat="false" ht="26.25" hidden="false" customHeight="true" outlineLevel="0" collapsed="false">
      <c r="A17" s="21" t="s">
        <v>285</v>
      </c>
      <c r="B17" s="22" t="n">
        <v>1299</v>
      </c>
      <c r="C17" s="23" t="s">
        <v>286</v>
      </c>
    </row>
    <row r="18" customFormat="false" ht="15" hidden="false" customHeight="true" outlineLevel="0" collapsed="false">
      <c r="A18" s="24" t="s">
        <v>287</v>
      </c>
      <c r="B18" s="25" t="n">
        <v>380</v>
      </c>
      <c r="C18" s="23" t="s">
        <v>288</v>
      </c>
    </row>
    <row r="19" customFormat="false" ht="15" hidden="false" customHeight="true" outlineLevel="0" collapsed="false">
      <c r="A19" s="26" t="s">
        <v>289</v>
      </c>
      <c r="B19" s="27" t="n">
        <v>0.12</v>
      </c>
      <c r="C19" s="23" t="s">
        <v>290</v>
      </c>
    </row>
    <row r="20" customFormat="false" ht="15" hidden="false" customHeight="true" outlineLevel="0" collapsed="false">
      <c r="A20" s="21" t="s">
        <v>291</v>
      </c>
      <c r="B20" s="28" t="n">
        <f aca="false">B18*(1+B19)</f>
        <v>425.6</v>
      </c>
      <c r="C20" s="29" t="s">
        <v>292</v>
      </c>
    </row>
    <row r="21" customFormat="false" ht="15" hidden="false" customHeight="true" outlineLevel="0" collapsed="false">
      <c r="A21" s="21" t="s">
        <v>293</v>
      </c>
      <c r="B21" s="30" t="n">
        <f aca="false">(B17-B20)/B17</f>
        <v>0.672363356428022</v>
      </c>
      <c r="C21" s="31" t="s">
        <v>294</v>
      </c>
    </row>
    <row r="22" customFormat="false" ht="36.75" hidden="false" customHeight="true" outlineLevel="0" collapsed="false">
      <c r="A22" s="26" t="s">
        <v>295</v>
      </c>
      <c r="B22" s="27" t="n">
        <v>0.35</v>
      </c>
      <c r="C22" s="23" t="s">
        <v>296</v>
      </c>
    </row>
    <row r="23" customFormat="false" ht="15" hidden="false" customHeight="true" outlineLevel="0" collapsed="false">
      <c r="A23" s="26" t="s">
        <v>297</v>
      </c>
      <c r="B23" s="27" t="n">
        <v>0.1</v>
      </c>
      <c r="C23" s="23" t="s">
        <v>298</v>
      </c>
    </row>
    <row r="24" customFormat="false" ht="26.25" hidden="false" customHeight="true" outlineLevel="0" collapsed="false">
      <c r="A24" s="26" t="s">
        <v>299</v>
      </c>
      <c r="B24" s="27" t="n">
        <v>0.22</v>
      </c>
      <c r="C24" s="23" t="s">
        <v>300</v>
      </c>
    </row>
    <row r="25" customFormat="false" ht="15" hidden="false" customHeight="true" outlineLevel="0" collapsed="false">
      <c r="A25" s="21" t="s">
        <v>301</v>
      </c>
      <c r="B25" s="32" t="n">
        <f aca="false">(B17-B20-B20*B22-B17*B23-B17*B24)/B17</f>
        <v>0.237690531177829</v>
      </c>
      <c r="C25" s="31" t="s">
        <v>302</v>
      </c>
    </row>
    <row r="27" customFormat="false" ht="15" hidden="false" customHeight="true" outlineLevel="0" collapsed="false">
      <c r="A27" s="8" t="s">
        <v>303</v>
      </c>
      <c r="B27" s="8"/>
      <c r="C27" s="8"/>
    </row>
    <row r="28" customFormat="false" ht="15" hidden="false" customHeight="true" outlineLevel="0" collapsed="false">
      <c r="A28" s="8"/>
      <c r="B28" s="8"/>
      <c r="C28" s="8"/>
    </row>
    <row r="29" customFormat="false" ht="15" hidden="false" customHeight="true" outlineLevel="0" collapsed="false">
      <c r="A29" s="8"/>
      <c r="B29" s="8"/>
      <c r="C29" s="8"/>
    </row>
  </sheetData>
  <mergeCells count="1">
    <mergeCell ref="A27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4" min="3" style="1" width="18"/>
    <col collapsed="false" customWidth="true" hidden="false" outlineLevel="0" max="5" min="5" style="1" width="30"/>
    <col collapsed="false" customWidth="true" hidden="false" outlineLevel="0" max="6" min="6" style="1" width="26"/>
    <col collapsed="false" customWidth="true" hidden="false" outlineLevel="0" max="7" min="7" style="1" width="30"/>
  </cols>
  <sheetData>
    <row r="1" customFormat="false" ht="18.75" hidden="false" customHeight="true" outlineLevel="0" collapsed="false">
      <c r="A1" s="2" t="s">
        <v>304</v>
      </c>
    </row>
    <row r="3" customFormat="false" ht="15" hidden="false" customHeight="true" outlineLevel="0" collapsed="false">
      <c r="A3" s="3" t="s">
        <v>305</v>
      </c>
      <c r="B3" s="3" t="s">
        <v>306</v>
      </c>
      <c r="C3" s="33" t="s">
        <v>307</v>
      </c>
      <c r="D3" s="33" t="s">
        <v>308</v>
      </c>
      <c r="E3" s="33" t="s">
        <v>309</v>
      </c>
      <c r="F3" s="3" t="s">
        <v>310</v>
      </c>
      <c r="G3" s="3" t="s">
        <v>311</v>
      </c>
    </row>
    <row r="4" customFormat="false" ht="29.25" hidden="false" customHeight="true" outlineLevel="0" collapsed="false">
      <c r="A4" s="5" t="s">
        <v>312</v>
      </c>
      <c r="B4" s="5" t="s">
        <v>313</v>
      </c>
      <c r="C4" s="4" t="s">
        <v>314</v>
      </c>
      <c r="D4" s="4" t="s">
        <v>315</v>
      </c>
      <c r="E4" s="5" t="s">
        <v>316</v>
      </c>
      <c r="F4" s="4" t="s">
        <v>317</v>
      </c>
      <c r="G4" s="14" t="s">
        <v>318</v>
      </c>
    </row>
    <row r="5" customFormat="false" ht="15" hidden="false" customHeight="true" outlineLevel="0" collapsed="false">
      <c r="A5" s="5" t="s">
        <v>312</v>
      </c>
      <c r="B5" s="5" t="s">
        <v>319</v>
      </c>
      <c r="C5" s="4" t="s">
        <v>320</v>
      </c>
      <c r="D5" s="4" t="s">
        <v>321</v>
      </c>
      <c r="E5" s="5" t="s">
        <v>322</v>
      </c>
      <c r="F5" s="4" t="s">
        <v>323</v>
      </c>
      <c r="G5" s="14" t="s">
        <v>324</v>
      </c>
    </row>
    <row r="6" customFormat="false" ht="29.25" hidden="false" customHeight="true" outlineLevel="0" collapsed="false">
      <c r="A6" s="4" t="s">
        <v>325</v>
      </c>
      <c r="B6" s="4" t="s">
        <v>326</v>
      </c>
      <c r="C6" s="5" t="s">
        <v>327</v>
      </c>
      <c r="D6" s="5" t="s">
        <v>40</v>
      </c>
      <c r="E6" s="4" t="s">
        <v>328</v>
      </c>
      <c r="F6" s="5" t="s">
        <v>329</v>
      </c>
      <c r="G6" s="14" t="s">
        <v>330</v>
      </c>
    </row>
    <row r="7" customFormat="false" ht="15" hidden="false" customHeight="true" outlineLevel="0" collapsed="false">
      <c r="A7" s="4" t="s">
        <v>331</v>
      </c>
      <c r="B7" s="4" t="s">
        <v>332</v>
      </c>
      <c r="C7" s="5" t="s">
        <v>333</v>
      </c>
      <c r="D7" s="4" t="s">
        <v>334</v>
      </c>
      <c r="E7" s="5" t="s">
        <v>335</v>
      </c>
      <c r="F7" s="5" t="s">
        <v>40</v>
      </c>
      <c r="G7" s="14" t="s">
        <v>336</v>
      </c>
    </row>
    <row r="8" customFormat="false" ht="29.25" hidden="false" customHeight="true" outlineLevel="0" collapsed="false">
      <c r="A8" s="4" t="s">
        <v>337</v>
      </c>
      <c r="B8" s="5" t="s">
        <v>338</v>
      </c>
      <c r="C8" s="4" t="s">
        <v>339</v>
      </c>
      <c r="D8" s="4" t="s">
        <v>340</v>
      </c>
      <c r="E8" s="5" t="s">
        <v>341</v>
      </c>
      <c r="F8" s="5" t="s">
        <v>342</v>
      </c>
      <c r="G8" s="14" t="s">
        <v>343</v>
      </c>
    </row>
    <row r="9" customFormat="false" ht="15" hidden="false" customHeight="true" outlineLevel="0" collapsed="false">
      <c r="A9" s="4" t="s">
        <v>344</v>
      </c>
      <c r="B9" s="5" t="s">
        <v>345</v>
      </c>
      <c r="C9" s="4" t="s">
        <v>346</v>
      </c>
      <c r="D9" s="4" t="s">
        <v>347</v>
      </c>
      <c r="E9" s="34" t="n">
        <f aca="false">100%</f>
        <v>1</v>
      </c>
      <c r="F9" s="5" t="s">
        <v>40</v>
      </c>
      <c r="G9" s="14" t="s">
        <v>348</v>
      </c>
    </row>
    <row r="10" customFormat="false" ht="29.25" hidden="false" customHeight="true" outlineLevel="0" collapsed="false">
      <c r="A10" s="4" t="s">
        <v>349</v>
      </c>
      <c r="B10" s="4" t="s">
        <v>350</v>
      </c>
      <c r="C10" s="4" t="s">
        <v>351</v>
      </c>
      <c r="D10" s="5" t="s">
        <v>40</v>
      </c>
      <c r="E10" s="5" t="s">
        <v>352</v>
      </c>
      <c r="F10" s="4" t="s">
        <v>353</v>
      </c>
      <c r="G10" s="14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2026-07-07T05:07:50Z</dcterms:created>
  <dc:creator>openpyxl</dc:creator>
  <dc:description/>
  <dc:language>en-US</dc:language>
  <cp:lastModifiedBy/>
  <dcterms:modified xsi:type="dcterms:W3CDTF">2026-07-07T05:08:18Z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