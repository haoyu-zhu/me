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市场规模" sheetId="1" state="visible" r:id="rId3"/>
    <sheet name="2-品类x价格矩阵" sheetId="2" state="visible" r:id="rId4"/>
    <sheet name="3-竞品对比" sheetId="3" state="visible" r:id="rId5"/>
    <sheet name="4-BOM与单位经济" sheetId="4" state="visible" r:id="rId6"/>
    <sheet name="5-数据勾稽自检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<sst xmlns="http://schemas.openxmlformats.org/spreadsheetml/2006/main" count="378" uniqueCount="311">
  <si>
    <t xml:space="preserve">扫地机器人 市场规模主表（按口径分行；销量≠出货量≠销售额，不可混用）</t>
  </si>
  <si>
    <r>
      <rPr>
        <b val="true"/>
        <sz val="10"/>
        <color rgb="FFFFFFFF"/>
        <rFont val="Noto Sans CJK SC"/>
        <family val="2"/>
      </rPr>
      <t xml:space="preserve">口径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品类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地域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指标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</si>
  <si>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2022</t>
  </si>
  <si>
    <t xml:space="preserve">2023</t>
  </si>
  <si>
    <t xml:space="preserve">2024</t>
  </si>
  <si>
    <t xml:space="preserve">2025</t>
  </si>
  <si>
    <r>
      <rPr>
        <b val="true"/>
        <sz val="10"/>
        <color rgb="FFFFFFFF"/>
        <rFont val="Noto Sans CJK SC"/>
        <family val="2"/>
      </rPr>
      <t xml:space="preserve">增长归因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备注</t>
    </r>
  </si>
  <si>
    <r>
      <rPr>
        <b val="true"/>
        <sz val="10"/>
        <color rgb="FFFFFFFF"/>
        <rFont val="Noto Sans CJK SC"/>
        <family val="2"/>
      </rPr>
      <t xml:space="preserve">来源</t>
    </r>
    <r>
      <rPr>
        <b val="true"/>
        <sz val="10"/>
        <color rgb="FFFFFFFF"/>
        <rFont val="Arial"/>
        <family val="0"/>
        <charset val="1"/>
      </rPr>
      <t xml:space="preserve">[n]</t>
    </r>
  </si>
  <si>
    <t xml:space="preserve">置信度</t>
  </si>
  <si>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智能扫地机</t>
    </r>
    <r>
      <rPr>
        <sz val="10"/>
        <rFont val="Arial"/>
        <family val="0"/>
        <charset val="1"/>
      </rPr>
      <t xml:space="preserve">(RVC)·</t>
    </r>
    <r>
      <rPr>
        <sz val="10"/>
        <rFont val="Noto Sans CJK SC"/>
        <family val="2"/>
      </rPr>
      <t xml:space="preserve">出货量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万台</t>
    </r>
    <r>
      <rPr>
        <sz val="10"/>
        <rFont val="Arial"/>
        <family val="0"/>
        <charset val="1"/>
      </rPr>
      <t xml:space="preserve">)</t>
    </r>
  </si>
  <si>
    <t xml:space="preserve">—</t>
  </si>
  <si>
    <t xml:space="preserve">1850</t>
  </si>
  <si>
    <t xml:space="preserve">2060.3</t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</si>
  <si>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2400(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</si>
  <si>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+11.2%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年前三季</t>
    </r>
    <r>
      <rPr>
        <sz val="10"/>
        <rFont val="Arial"/>
        <family val="0"/>
        <charset val="1"/>
      </rPr>
      <t xml:space="preserve">1742</t>
    </r>
    <r>
      <rPr>
        <sz val="10"/>
        <rFont val="Noto Sans CJK SC"/>
        <family val="2"/>
      </rPr>
      <t xml:space="preserve">万台</t>
    </r>
    <r>
      <rPr>
        <sz val="10"/>
        <rFont val="Arial"/>
        <family val="0"/>
        <charset val="1"/>
      </rPr>
      <t xml:space="preserve">+18.7%</t>
    </r>
    <r>
      <rPr>
        <sz val="10"/>
        <rFont val="Noto Sans CJK SC"/>
        <family val="2"/>
      </rPr>
      <t xml:space="preserve">，全年机构预期约</t>
    </r>
    <r>
      <rPr>
        <sz val="10"/>
        <rFont val="Arial"/>
        <family val="0"/>
        <charset val="1"/>
      </rPr>
      <t xml:space="preserve">+20%</t>
    </r>
  </si>
  <si>
    <t xml:space="preserve">7,12,6,15</t>
  </si>
  <si>
    <t xml:space="preserve">高</t>
  </si>
  <si>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智能扫地机</t>
    </r>
    <r>
      <rPr>
        <sz val="10"/>
        <rFont val="Arial"/>
        <family val="0"/>
        <charset val="1"/>
      </rPr>
      <t xml:space="preserve">(RVC)·</t>
    </r>
    <r>
      <rPr>
        <sz val="10"/>
        <rFont val="Noto Sans CJK SC"/>
        <family val="2"/>
      </rPr>
      <t xml:space="preserve">销售额</t>
    </r>
    <r>
      <rPr>
        <sz val="10"/>
        <rFont val="Arial"/>
        <family val="0"/>
        <charset val="1"/>
      </rPr>
      <t xml:space="preserve">($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)</t>
    </r>
  </si>
  <si>
    <t xml:space="preserve">78</t>
  </si>
  <si>
    <t xml:space="preserve">93.1</t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</si>
  <si>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110(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</si>
  <si>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年销额</t>
    </r>
    <r>
      <rPr>
        <sz val="10"/>
        <rFont val="Arial"/>
        <family val="0"/>
        <charset val="1"/>
      </rPr>
      <t xml:space="preserve">+19.7%</t>
    </r>
    <r>
      <rPr>
        <sz val="10"/>
        <rFont val="Noto Sans CJK SC"/>
        <family val="2"/>
      </rPr>
      <t xml:space="preserve">＞销量增速→高端化；均价</t>
    </r>
    <r>
      <rPr>
        <sz val="10"/>
        <rFont val="Arial"/>
        <family val="0"/>
        <charset val="1"/>
      </rPr>
      <t xml:space="preserve">$452(+7.6%)</t>
    </r>
  </si>
  <si>
    <t xml:space="preserve">7,12</t>
  </si>
  <si>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智能扫地机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平均单价</t>
    </r>
    <r>
      <rPr>
        <sz val="10"/>
        <rFont val="Arial"/>
        <family val="0"/>
        <charset val="1"/>
      </rPr>
      <t xml:space="preserve">($/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</si>
  <si>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422</t>
    </r>
  </si>
  <si>
    <t xml:space="preserve">452</t>
  </si>
  <si>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年同比</t>
    </r>
    <r>
      <rPr>
        <sz val="10"/>
        <rFont val="Arial"/>
        <family val="0"/>
        <charset val="1"/>
      </rPr>
      <t xml:space="preserve">+7.6%</t>
    </r>
    <r>
      <rPr>
        <sz val="10"/>
        <rFont val="Noto Sans CJK SC"/>
        <family val="2"/>
      </rPr>
      <t xml:space="preserve">，结构高端化</t>
    </r>
  </si>
  <si>
    <t xml:space="preserve">12</t>
  </si>
  <si>
    <r>
      <rPr>
        <sz val="10"/>
        <rFont val="Noto Sans CJK SC"/>
        <family val="2"/>
      </rPr>
      <t xml:space="preserve">中国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扫地机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零售量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万台</t>
    </r>
    <r>
      <rPr>
        <sz val="10"/>
        <rFont val="Arial"/>
        <family val="0"/>
        <charset val="1"/>
      </rPr>
      <t xml:space="preserve">)</t>
    </r>
  </si>
  <si>
    <t xml:space="preserve">441</t>
  </si>
  <si>
    <t xml:space="preserve">458</t>
  </si>
  <si>
    <t xml:space="preserve">603.6</t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</si>
  <si>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660-720(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</si>
  <si>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-24%</t>
    </r>
    <r>
      <rPr>
        <sz val="10"/>
        <rFont val="Noto Sans CJK SC"/>
        <family val="2"/>
      </rPr>
      <t xml:space="preserve">连降；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+31.7%(</t>
    </r>
    <r>
      <rPr>
        <sz val="10"/>
        <rFont val="Noto Sans CJK SC"/>
        <family val="2"/>
      </rPr>
      <t xml:space="preserve">国补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以价换量</t>
    </r>
    <r>
      <rPr>
        <sz val="10"/>
        <rFont val="Arial"/>
        <family val="0"/>
        <charset val="1"/>
      </rPr>
      <t xml:space="preserve">);25</t>
    </r>
    <r>
      <rPr>
        <sz val="10"/>
        <rFont val="Noto Sans CJK SC"/>
        <family val="2"/>
      </rPr>
      <t xml:space="preserve">年双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转弱</t>
    </r>
  </si>
  <si>
    <t xml:space="preserve">—,—,11,15</t>
  </si>
  <si>
    <r>
      <rPr>
        <sz val="10"/>
        <rFont val="Noto Sans CJK SC"/>
        <family val="2"/>
      </rPr>
      <t xml:space="preserve">中国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扫地机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零售额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亿元</t>
    </r>
    <r>
      <rPr>
        <sz val="10"/>
        <rFont val="Arial"/>
        <family val="0"/>
        <charset val="1"/>
      </rPr>
      <t xml:space="preserve">)</t>
    </r>
  </si>
  <si>
    <t xml:space="preserve">137</t>
  </si>
  <si>
    <t xml:space="preserve">193.6</t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</si>
  <si>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220(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</si>
  <si>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+41.1%(</t>
    </r>
    <r>
      <rPr>
        <sz val="10"/>
        <rFont val="Noto Sans CJK SC"/>
        <family val="2"/>
      </rPr>
      <t xml:space="preserve">国补拉动，</t>
    </r>
    <r>
      <rPr>
        <sz val="10"/>
        <rFont val="Arial"/>
        <family val="0"/>
        <charset val="1"/>
      </rPr>
      <t xml:space="preserve">10-12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+46.2%)</t>
    </r>
  </si>
  <si>
    <t xml:space="preserve">—,—,11,16</t>
  </si>
  <si>
    <r>
      <rPr>
        <sz val="10"/>
        <rFont val="Noto Sans CJK SC"/>
        <family val="2"/>
      </rPr>
      <t xml:space="preserve">中国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扫地机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出货量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万台</t>
    </r>
    <r>
      <rPr>
        <sz val="10"/>
        <rFont val="Arial"/>
        <family val="0"/>
        <charset val="1"/>
      </rPr>
      <t xml:space="preserve">,IDC)</t>
    </r>
  </si>
  <si>
    <t xml:space="preserve">538.9</t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</si>
  <si>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640(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</si>
  <si>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+6.7%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Q4</t>
    </r>
    <r>
      <rPr>
        <sz val="10"/>
        <rFont val="Noto Sans CJK SC"/>
        <family val="2"/>
      </rPr>
      <t xml:space="preserve">国补</t>
    </r>
    <r>
      <rPr>
        <sz val="10"/>
        <rFont val="Arial"/>
        <family val="0"/>
        <charset val="1"/>
      </rPr>
      <t xml:space="preserve">+28.2%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25Q1</t>
    </r>
    <r>
      <rPr>
        <sz val="10"/>
        <rFont val="Noto Sans CJK SC"/>
        <family val="2"/>
      </rPr>
      <t xml:space="preserve">出货</t>
    </r>
    <r>
      <rPr>
        <sz val="10"/>
        <rFont val="Arial"/>
        <family val="0"/>
        <charset val="1"/>
      </rPr>
      <t xml:space="preserve">118.8</t>
    </r>
    <r>
      <rPr>
        <sz val="10"/>
        <rFont val="Noto Sans CJK SC"/>
        <family val="2"/>
      </rPr>
      <t xml:space="preserve">万</t>
    </r>
    <r>
      <rPr>
        <sz val="10"/>
        <rFont val="Arial"/>
        <family val="0"/>
        <charset val="1"/>
      </rPr>
      <t xml:space="preserve">+21.4%</t>
    </r>
  </si>
  <si>
    <t xml:space="preserve">13,18</t>
  </si>
  <si>
    <t xml:space="preserve">中</t>
  </si>
  <si>
    <r>
      <rPr>
        <sz val="10"/>
        <rFont val="Noto Sans CJK SC"/>
        <family val="2"/>
      </rPr>
      <t xml:space="preserve">中国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扫地机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线上均价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</si>
  <si>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近</t>
    </r>
    <r>
      <rPr>
        <sz val="10"/>
        <rFont val="Arial"/>
        <family val="0"/>
        <charset val="1"/>
      </rPr>
      <t xml:space="preserve">3000</t>
    </r>
  </si>
  <si>
    <t xml:space="preserve">3024</t>
  </si>
  <si>
    <r>
      <rPr>
        <sz val="10"/>
        <rFont val="Arial"/>
        <family val="0"/>
        <charset val="1"/>
      </rPr>
      <t xml:space="preserve">3261(25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1-2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</si>
  <si>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+13.5%</t>
    </r>
    <r>
      <rPr>
        <sz val="10"/>
        <rFont val="Noto Sans CJK SC"/>
        <family val="2"/>
      </rPr>
      <t xml:space="preserve">；高端化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国补补贴高价机</t>
    </r>
  </si>
  <si>
    <t xml:space="preserve">9,17,14</t>
  </si>
  <si>
    <r>
      <rPr>
        <i val="true"/>
        <sz val="8.5"/>
        <color rgb="FF666666"/>
        <rFont val="Noto Sans CJK SC"/>
        <family val="2"/>
      </rPr>
      <t xml:space="preserve">渗透率</t>
    </r>
    <r>
      <rPr>
        <i val="true"/>
        <sz val="8.5"/>
        <color rgb="FF666666"/>
        <rFont val="Arial"/>
        <family val="0"/>
        <charset val="1"/>
      </rPr>
      <t xml:space="preserve">(</t>
    </r>
    <r>
      <rPr>
        <i val="true"/>
        <sz val="8.5"/>
        <color rgb="FF666666"/>
        <rFont val="Noto Sans CJK SC"/>
        <family val="2"/>
      </rPr>
      <t xml:space="preserve">关键增长跑道</t>
    </r>
    <r>
      <rPr>
        <i val="true"/>
        <sz val="8.5"/>
        <color rgb="FF666666"/>
        <rFont val="Arial"/>
        <family val="0"/>
        <charset val="1"/>
      </rPr>
      <t xml:space="preserve">)</t>
    </r>
    <r>
      <rPr>
        <i val="true"/>
        <sz val="8.5"/>
        <color rgb="FF666666"/>
        <rFont val="Noto Sans CJK SC"/>
        <family val="2"/>
      </rPr>
      <t xml:space="preserve">：中国约</t>
    </r>
    <r>
      <rPr>
        <i val="true"/>
        <sz val="8.5"/>
        <color rgb="FF666666"/>
        <rFont val="Arial"/>
        <family val="0"/>
        <charset val="1"/>
      </rPr>
      <t xml:space="preserve">4.9%(2025,</t>
    </r>
    <r>
      <rPr>
        <i val="true"/>
        <sz val="8.5"/>
        <color rgb="FF666666"/>
        <rFont val="Noto Sans CJK SC"/>
        <family val="2"/>
      </rPr>
      <t xml:space="preserve">开源证券</t>
    </r>
    <r>
      <rPr>
        <i val="true"/>
        <sz val="8.5"/>
        <color rgb="FF666666"/>
        <rFont val="Arial"/>
        <family val="0"/>
        <charset val="1"/>
      </rPr>
      <t xml:space="preserve">)/5-6%(2024</t>
    </r>
    <r>
      <rPr>
        <i val="true"/>
        <sz val="8.5"/>
        <color rgb="FF666666"/>
        <rFont val="Noto Sans CJK SC"/>
        <family val="2"/>
      </rPr>
      <t xml:space="preserve">末</t>
    </r>
    <r>
      <rPr>
        <i val="true"/>
        <sz val="8.5"/>
        <color rgb="FF666666"/>
        <rFont val="Arial"/>
        <family val="0"/>
        <charset val="1"/>
      </rPr>
      <t xml:space="preserve">)</t>
    </r>
    <r>
      <rPr>
        <i val="true"/>
        <sz val="8.5"/>
        <color rgb="FF666666"/>
        <rFont val="Noto Sans CJK SC"/>
        <family val="2"/>
      </rPr>
      <t xml:space="preserve">；全球约</t>
    </r>
    <r>
      <rPr>
        <i val="true"/>
        <sz val="8.5"/>
        <color rgb="FF666666"/>
        <rFont val="Arial"/>
        <family val="0"/>
        <charset val="1"/>
      </rPr>
      <t xml:space="preserve">3.8%(2024)</t>
    </r>
    <r>
      <rPr>
        <i val="true"/>
        <sz val="8.5"/>
        <color rgb="FF666666"/>
        <rFont val="Noto Sans CJK SC"/>
        <family val="2"/>
      </rPr>
      <t xml:space="preserve">；欧洲</t>
    </r>
    <r>
      <rPr>
        <i val="true"/>
        <sz val="8.5"/>
        <color rgb="FF666666"/>
        <rFont val="Arial"/>
        <family val="0"/>
        <charset val="1"/>
      </rPr>
      <t xml:space="preserve">5.7%</t>
    </r>
    <r>
      <rPr>
        <i val="true"/>
        <sz val="8.5"/>
        <color rgb="FF666666"/>
        <rFont val="Noto Sans CJK SC"/>
        <family val="2"/>
      </rPr>
      <t xml:space="preserve">；美国约</t>
    </r>
    <r>
      <rPr>
        <i val="true"/>
        <sz val="8.5"/>
        <color rgb="FF666666"/>
        <rFont val="Arial"/>
        <family val="0"/>
        <charset val="1"/>
      </rPr>
      <t xml:space="preserve">16%</t>
    </r>
    <r>
      <rPr>
        <i val="true"/>
        <sz val="8.5"/>
        <color rgb="FF666666"/>
        <rFont val="Noto Sans CJK SC"/>
        <family val="2"/>
      </rPr>
      <t xml:space="preserve">。行业仍处早期。来源</t>
    </r>
    <r>
      <rPr>
        <i val="true"/>
        <sz val="8.5"/>
        <color rgb="FF666666"/>
        <rFont val="Arial"/>
        <family val="0"/>
        <charset val="1"/>
      </rPr>
      <t xml:space="preserve">[17][19]</t>
    </r>
  </si>
  <si>
    <r>
      <rPr>
        <i val="true"/>
        <sz val="8.5"/>
        <color rgb="FF666666"/>
        <rFont val="Noto Sans CJK SC"/>
        <family val="2"/>
      </rPr>
      <t xml:space="preserve">口径提醒：全球数为</t>
    </r>
    <r>
      <rPr>
        <i val="true"/>
        <sz val="8.5"/>
        <color rgb="FF666666"/>
        <rFont val="Arial"/>
        <family val="0"/>
        <charset val="1"/>
      </rPr>
      <t xml:space="preserve">IDC"</t>
    </r>
    <r>
      <rPr>
        <i val="true"/>
        <sz val="8.5"/>
        <color rgb="FF666666"/>
        <rFont val="Noto Sans CJK SC"/>
        <family val="2"/>
      </rPr>
      <t xml:space="preserve">智能扫地机</t>
    </r>
    <r>
      <rPr>
        <i val="true"/>
        <sz val="8.5"/>
        <color rgb="FF666666"/>
        <rFont val="Arial"/>
        <family val="0"/>
        <charset val="1"/>
      </rPr>
      <t xml:space="preserve">/RVC"</t>
    </r>
    <r>
      <rPr>
        <i val="true"/>
        <sz val="8.5"/>
        <color rgb="FF666666"/>
        <rFont val="Noto Sans CJK SC"/>
        <family val="2"/>
      </rPr>
      <t xml:space="preserve">口径</t>
    </r>
    <r>
      <rPr>
        <i val="true"/>
        <sz val="8.5"/>
        <color rgb="FF666666"/>
        <rFont val="Arial"/>
        <family val="0"/>
        <charset val="1"/>
      </rPr>
      <t xml:space="preserve">(</t>
    </r>
    <r>
      <rPr>
        <i val="true"/>
        <sz val="8.5"/>
        <color rgb="FF666666"/>
        <rFont val="Noto Sans CJK SC"/>
        <family val="2"/>
      </rPr>
      <t xml:space="preserve">出厂出货</t>
    </r>
    <r>
      <rPr>
        <i val="true"/>
        <sz val="8.5"/>
        <color rgb="FF666666"/>
        <rFont val="Arial"/>
        <family val="0"/>
        <charset val="1"/>
      </rPr>
      <t xml:space="preserve">)</t>
    </r>
    <r>
      <rPr>
        <i val="true"/>
        <sz val="8.5"/>
        <color rgb="FF666666"/>
        <rFont val="Noto Sans CJK SC"/>
        <family val="2"/>
      </rPr>
      <t xml:space="preserve">；中国</t>
    </r>
    <r>
      <rPr>
        <i val="true"/>
        <sz val="8.5"/>
        <color rgb="FF666666"/>
        <rFont val="Arial"/>
        <family val="0"/>
        <charset val="1"/>
      </rPr>
      <t xml:space="preserve">"</t>
    </r>
    <r>
      <rPr>
        <i val="true"/>
        <sz val="8.5"/>
        <color rgb="FF666666"/>
        <rFont val="Noto Sans CJK SC"/>
        <family val="2"/>
      </rPr>
      <t xml:space="preserve">零售额</t>
    </r>
    <r>
      <rPr>
        <i val="true"/>
        <sz val="8.5"/>
        <color rgb="FF666666"/>
        <rFont val="Arial"/>
        <family val="0"/>
        <charset val="1"/>
      </rPr>
      <t xml:space="preserve">/</t>
    </r>
    <r>
      <rPr>
        <i val="true"/>
        <sz val="8.5"/>
        <color rgb="FF666666"/>
        <rFont val="Noto Sans CJK SC"/>
        <family val="2"/>
      </rPr>
      <t xml:space="preserve">量</t>
    </r>
    <r>
      <rPr>
        <i val="true"/>
        <sz val="8.5"/>
        <color rgb="FF666666"/>
        <rFont val="Arial"/>
        <family val="0"/>
        <charset val="1"/>
      </rPr>
      <t xml:space="preserve">"</t>
    </r>
    <r>
      <rPr>
        <i val="true"/>
        <sz val="8.5"/>
        <color rgb="FF666666"/>
        <rFont val="Noto Sans CJK SC"/>
        <family val="2"/>
      </rPr>
      <t xml:space="preserve">为奥维云网</t>
    </r>
    <r>
      <rPr>
        <i val="true"/>
        <sz val="8.5"/>
        <color rgb="FF666666"/>
        <rFont val="Arial"/>
        <family val="0"/>
        <charset val="1"/>
      </rPr>
      <t xml:space="preserve">AVC</t>
    </r>
    <r>
      <rPr>
        <i val="true"/>
        <sz val="8.5"/>
        <color rgb="FF666666"/>
        <rFont val="Noto Sans CJK SC"/>
        <family val="2"/>
      </rPr>
      <t xml:space="preserve">全渠道</t>
    </r>
    <r>
      <rPr>
        <i val="true"/>
        <sz val="8.5"/>
        <color rgb="FF666666"/>
        <rFont val="Arial"/>
        <family val="0"/>
        <charset val="1"/>
      </rPr>
      <t xml:space="preserve">sell-through(</t>
    </r>
    <r>
      <rPr>
        <i val="true"/>
        <sz val="8.5"/>
        <color rgb="FF666666"/>
        <rFont val="Noto Sans CJK SC"/>
        <family val="2"/>
      </rPr>
      <t xml:space="preserve">含零售加价</t>
    </r>
    <r>
      <rPr>
        <i val="true"/>
        <sz val="8.5"/>
        <color rgb="FF666666"/>
        <rFont val="Arial"/>
        <family val="0"/>
        <charset val="1"/>
      </rPr>
      <t xml:space="preserve">)</t>
    </r>
    <r>
      <rPr>
        <i val="true"/>
        <sz val="8.5"/>
        <color rgb="FF666666"/>
        <rFont val="Noto Sans CJK SC"/>
        <family val="2"/>
      </rPr>
      <t xml:space="preserve">，与全球出货口径不可直接相加。</t>
    </r>
  </si>
  <si>
    <r>
      <rPr>
        <b val="true"/>
        <sz val="10"/>
        <rFont val="Noto Sans CJK SC"/>
        <family val="2"/>
      </rPr>
      <t xml:space="preserve">全球地区分布（销售额份额估算，</t>
    </r>
    <r>
      <rPr>
        <b val="true"/>
        <sz val="10"/>
        <rFont val="Arial"/>
        <family val="0"/>
        <charset val="1"/>
      </rPr>
      <t xml:space="preserve">2024-2025</t>
    </r>
    <r>
      <rPr>
        <b val="true"/>
        <sz val="10"/>
        <rFont val="Noto Sans CJK SC"/>
        <family val="2"/>
      </rPr>
      <t xml:space="preserve">；口径与来源差异较大，中低置信度）</t>
    </r>
  </si>
  <si>
    <t xml:space="preserve">地区</t>
  </si>
  <si>
    <r>
      <rPr>
        <b val="true"/>
        <sz val="10"/>
        <color rgb="FFFFFFFF"/>
        <rFont val="Noto Sans CJK SC"/>
        <family val="2"/>
      </rPr>
      <t xml:space="preserve">全球销售额占比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</si>
  <si>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近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年增速</t>
    </r>
  </si>
  <si>
    <r>
      <rPr>
        <b val="true"/>
        <sz val="10"/>
        <color rgb="FFFFFFFF"/>
        <rFont val="Noto Sans CJK SC"/>
        <family val="2"/>
      </rPr>
      <t xml:space="preserve">特征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成因</t>
    </r>
  </si>
  <si>
    <t xml:space="preserve">中国大陆</t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</si>
  <si>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25-30%</t>
    </r>
  </si>
  <si>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(24</t>
    </r>
    <r>
      <rPr>
        <sz val="10"/>
        <rFont val="Noto Sans CJK SC"/>
        <family val="2"/>
      </rPr>
      <t xml:space="preserve">年零售额</t>
    </r>
    <r>
      <rPr>
        <sz val="10"/>
        <rFont val="Arial"/>
        <family val="0"/>
        <charset val="1"/>
      </rPr>
      <t xml:space="preserve">+41%,25</t>
    </r>
    <r>
      <rPr>
        <sz val="10"/>
        <rFont val="Noto Sans CJK SC"/>
        <family val="2"/>
      </rPr>
      <t xml:space="preserve">年国补后转弱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</si>
  <si>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全球最大单一市场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国补驱动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高端化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本土品牌主导</t>
    </r>
  </si>
  <si>
    <t xml:space="preserve">北美</t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</si>
  <si>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20-25%</t>
    </r>
  </si>
  <si>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成熟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</si>
  <si>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渗透率最高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16%);</t>
    </r>
    <r>
      <rPr>
        <sz val="10"/>
        <rFont val="Noto Sans CJK SC"/>
        <family val="2"/>
      </rPr>
      <t xml:space="preserve">地毯需求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关税敏感</t>
    </r>
    <r>
      <rPr>
        <sz val="10"/>
        <rFont val="Arial"/>
        <family val="0"/>
        <charset val="1"/>
      </rPr>
      <t xml:space="preserve">;iRobot</t>
    </r>
    <r>
      <rPr>
        <sz val="10"/>
        <rFont val="Noto Sans CJK SC"/>
        <family val="2"/>
      </rPr>
      <t xml:space="preserve">退守</t>
    </r>
  </si>
  <si>
    <t xml:space="preserve">欧洲</t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</si>
  <si>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18-22%</t>
    </r>
  </si>
  <si>
    <r>
      <rPr>
        <sz val="10"/>
        <rFont val="Noto Sans CJK SC"/>
        <family val="2"/>
      </rPr>
      <t xml:space="preserve">中高</t>
    </r>
    <r>
      <rPr>
        <sz val="10"/>
        <rFont val="Arial"/>
        <family val="0"/>
        <charset val="1"/>
      </rPr>
      <t xml:space="preserve">(CEE +40.3%)</t>
    </r>
  </si>
  <si>
    <r>
      <rPr>
        <sz val="10"/>
        <rFont val="Arial"/>
        <family val="0"/>
        <charset val="1"/>
      </rPr>
      <t xml:space="preserve">Dreame</t>
    </r>
    <r>
      <rPr>
        <sz val="10"/>
        <rFont val="Noto Sans CJK SC"/>
        <family val="2"/>
      </rPr>
      <t xml:space="preserve">区域第一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静音防缠绕</t>
    </r>
    <r>
      <rPr>
        <sz val="10"/>
        <rFont val="Arial"/>
        <family val="0"/>
        <charset val="1"/>
      </rPr>
      <t xml:space="preserve">;CE/</t>
    </r>
    <r>
      <rPr>
        <sz val="10"/>
        <rFont val="Noto Sans CJK SC"/>
        <family val="2"/>
      </rPr>
      <t xml:space="preserve">能效要求高</t>
    </r>
  </si>
  <si>
    <t xml:space="preserve">日韩</t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</si>
  <si>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8-10%</t>
    </r>
  </si>
  <si>
    <r>
      <rPr>
        <sz val="10"/>
        <rFont val="Arial"/>
        <family val="0"/>
        <charset val="1"/>
      </rPr>
      <t xml:space="preserve">Roborock</t>
    </r>
    <r>
      <rPr>
        <sz val="10"/>
        <rFont val="Noto Sans CJK SC"/>
        <family val="2"/>
      </rPr>
      <t xml:space="preserve">韩国第一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智能家居互联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高客单</t>
    </r>
  </si>
  <si>
    <t xml:space="preserve">低</t>
  </si>
  <si>
    <r>
      <rPr>
        <sz val="10"/>
        <rFont val="Noto Sans CJK SC"/>
        <family val="2"/>
      </rPr>
      <t xml:space="preserve">其他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中东非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东南亚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拉美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</si>
  <si>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15-20%</t>
    </r>
  </si>
  <si>
    <r>
      <rPr>
        <sz val="10"/>
        <rFont val="Noto Sans CJK SC"/>
        <family val="2"/>
      </rPr>
      <t xml:space="preserve">最高</t>
    </r>
    <r>
      <rPr>
        <sz val="10"/>
        <rFont val="Arial"/>
        <family val="0"/>
        <charset val="1"/>
      </rPr>
      <t xml:space="preserve">(ME&amp;A +95.6%)</t>
    </r>
  </si>
  <si>
    <r>
      <rPr>
        <sz val="10"/>
        <rFont val="Noto Sans CJK SC"/>
        <family val="2"/>
      </rPr>
      <t xml:space="preserve">新兴市场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中产扩容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中国品牌出海主战场</t>
    </r>
  </si>
  <si>
    <r>
      <rPr>
        <b val="true"/>
        <sz val="13"/>
        <color rgb="FF1B2631"/>
        <rFont val="Noto Sans CJK SC"/>
        <family val="2"/>
      </rPr>
      <t xml:space="preserve">品类</t>
    </r>
    <r>
      <rPr>
        <b val="true"/>
        <sz val="13"/>
        <color rgb="FF1B2631"/>
        <rFont val="Arial"/>
        <family val="0"/>
        <charset val="1"/>
      </rPr>
      <t xml:space="preserve">×</t>
    </r>
    <r>
      <rPr>
        <b val="true"/>
        <sz val="13"/>
        <color rgb="FF1B2631"/>
        <rFont val="Noto Sans CJK SC"/>
        <family val="2"/>
      </rPr>
      <t xml:space="preserve">价格 供给密度矩阵（值</t>
    </r>
    <r>
      <rPr>
        <b val="true"/>
        <sz val="13"/>
        <color rgb="FF1B2631"/>
        <rFont val="Arial"/>
        <family val="0"/>
        <charset val="1"/>
      </rPr>
      <t xml:space="preserve">=</t>
    </r>
    <r>
      <rPr>
        <b val="true"/>
        <sz val="13"/>
        <color rgb="FF1B2631"/>
        <rFont val="Noto Sans CJK SC"/>
        <family val="2"/>
      </rPr>
      <t xml:space="preserve">相对供给密度估算，</t>
    </r>
    <r>
      <rPr>
        <b val="true"/>
        <sz val="13"/>
        <color rgb="FF1B2631"/>
        <rFont val="Arial"/>
        <family val="0"/>
        <charset val="1"/>
      </rPr>
      <t xml:space="preserve">1</t>
    </r>
    <r>
      <rPr>
        <b val="true"/>
        <sz val="13"/>
        <color rgb="FF1B2631"/>
        <rFont val="Noto Sans CJK SC"/>
        <family val="2"/>
      </rPr>
      <t xml:space="preserve">稀疏</t>
    </r>
    <r>
      <rPr>
        <b val="true"/>
        <sz val="13"/>
        <color rgb="FF1B2631"/>
        <rFont val="Arial"/>
        <family val="0"/>
        <charset val="1"/>
      </rPr>
      <t xml:space="preserve">~5</t>
    </r>
    <r>
      <rPr>
        <b val="true"/>
        <sz val="13"/>
        <color rgb="FF1B2631"/>
        <rFont val="Noto Sans CJK SC"/>
        <family val="2"/>
      </rPr>
      <t xml:space="preserve">拥挤；</t>
    </r>
    <r>
      <rPr>
        <b val="true"/>
        <sz val="13"/>
        <color rgb="FF1B2631"/>
        <rFont val="Arial"/>
        <family val="0"/>
        <charset val="1"/>
      </rPr>
      <t xml:space="preserve">0=</t>
    </r>
    <r>
      <rPr>
        <b val="true"/>
        <sz val="13"/>
        <color rgb="FF1B2631"/>
        <rFont val="Noto Sans CJK SC"/>
        <family val="2"/>
      </rPr>
      <t xml:space="preserve">空白机会区）</t>
    </r>
  </si>
  <si>
    <r>
      <rPr>
        <b val="true"/>
        <sz val="10"/>
        <color rgb="FFFFFFFF"/>
        <rFont val="Noto Sans CJK SC"/>
        <family val="2"/>
      </rPr>
      <t xml:space="preserve">自动化程度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形态</t>
    </r>
  </si>
  <si>
    <r>
      <rPr>
        <b val="true"/>
        <sz val="10"/>
        <color rgb="FFFFFFFF"/>
        <rFont val="Noto Sans CJK SC"/>
        <family val="2"/>
      </rPr>
      <t xml:space="preserve">入门 </t>
    </r>
    <r>
      <rPr>
        <b val="true"/>
        <sz val="10"/>
        <color rgb="FFFFFFFF"/>
        <rFont val="Arial"/>
        <family val="0"/>
        <charset val="1"/>
      </rPr>
      <t xml:space="preserve">&lt;¥1500</t>
    </r>
  </si>
  <si>
    <r>
      <rPr>
        <b val="true"/>
        <sz val="10"/>
        <color rgb="FFFFFFFF"/>
        <rFont val="Noto Sans CJK SC"/>
        <family val="2"/>
      </rPr>
      <t xml:space="preserve">中端 </t>
    </r>
    <r>
      <rPr>
        <b val="true"/>
        <sz val="10"/>
        <color rgb="FFFFFFFF"/>
        <rFont val="Arial"/>
        <family val="0"/>
        <charset val="1"/>
      </rPr>
      <t xml:space="preserve">¥1500-3000</t>
    </r>
  </si>
  <si>
    <r>
      <rPr>
        <b val="true"/>
        <sz val="10"/>
        <color rgb="FFFFFFFF"/>
        <rFont val="Noto Sans CJK SC"/>
        <family val="2"/>
      </rPr>
      <t xml:space="preserve">高端 </t>
    </r>
    <r>
      <rPr>
        <b val="true"/>
        <sz val="10"/>
        <color rgb="FFFFFFFF"/>
        <rFont val="Arial"/>
        <family val="0"/>
        <charset val="1"/>
      </rPr>
      <t xml:space="preserve">¥3000-5000</t>
    </r>
  </si>
  <si>
    <r>
      <rPr>
        <b val="true"/>
        <sz val="10"/>
        <color rgb="FFFFFFFF"/>
        <rFont val="Noto Sans CJK SC"/>
        <family val="2"/>
      </rPr>
      <t xml:space="preserve">旗舰 </t>
    </r>
    <r>
      <rPr>
        <b val="true"/>
        <sz val="10"/>
        <color rgb="FFFFFFFF"/>
        <rFont val="Arial"/>
        <family val="0"/>
        <charset val="1"/>
      </rPr>
      <t xml:space="preserve">&gt;¥5000</t>
    </r>
  </si>
  <si>
    <t xml:space="preserve">解读</t>
  </si>
  <si>
    <r>
      <rPr>
        <sz val="10"/>
        <rFont val="Noto Sans CJK SC"/>
        <family val="2"/>
      </rPr>
      <t xml:space="preserve">单机款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无基站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</si>
  <si>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仅入门残留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主流已被基站款替代</t>
    </r>
  </si>
  <si>
    <r>
      <rPr>
        <sz val="10"/>
        <rFont val="Noto Sans CJK SC"/>
        <family val="2"/>
      </rPr>
      <t xml:space="preserve">基础基站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自集尘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</si>
  <si>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中端主力之一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向上挤压</t>
    </r>
  </si>
  <si>
    <r>
      <rPr>
        <sz val="10"/>
        <rFont val="Noto Sans CJK SC"/>
        <family val="2"/>
      </rPr>
      <t xml:space="preserve">全能基站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自洗拖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上下水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</si>
  <si>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当前红海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中高端最拥挤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国补主推</t>
    </r>
  </si>
  <si>
    <r>
      <rPr>
        <sz val="10"/>
        <rFont val="Noto Sans CJK SC"/>
        <family val="2"/>
      </rPr>
      <t xml:space="preserve">旗舰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机械臂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越障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爬楼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</si>
  <si>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旗舰新物种</t>
    </r>
    <r>
      <rPr>
        <sz val="10"/>
        <rFont val="Arial"/>
        <family val="0"/>
        <charset val="1"/>
      </rPr>
      <t xml:space="preserve">;26</t>
    </r>
    <r>
      <rPr>
        <sz val="10"/>
        <rFont val="Noto Sans CJK SC"/>
        <family val="2"/>
      </rPr>
      <t xml:space="preserve">年放量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价格高</t>
    </r>
  </si>
  <si>
    <r>
      <rPr>
        <i val="true"/>
        <sz val="8.5"/>
        <color rgb="FF666666"/>
        <rFont val="Noto Sans CJK SC"/>
        <family val="2"/>
      </rPr>
      <t xml:space="preserve">机会区</t>
    </r>
    <r>
      <rPr>
        <i val="true"/>
        <sz val="8.5"/>
        <color rgb="FF666666"/>
        <rFont val="Arial"/>
        <family val="0"/>
        <charset val="1"/>
      </rPr>
      <t xml:space="preserve">(</t>
    </r>
    <r>
      <rPr>
        <i val="true"/>
        <sz val="8.5"/>
        <color rgb="FF666666"/>
        <rFont val="Noto Sans CJK SC"/>
        <family val="2"/>
      </rPr>
      <t xml:space="preserve">空白</t>
    </r>
    <r>
      <rPr>
        <i val="true"/>
        <sz val="8.5"/>
        <color rgb="FF666666"/>
        <rFont val="Arial"/>
        <family val="0"/>
        <charset val="1"/>
      </rPr>
      <t xml:space="preserve">/</t>
    </r>
    <r>
      <rPr>
        <i val="true"/>
        <sz val="8.5"/>
        <color rgb="FF666666"/>
        <rFont val="Noto Sans CJK SC"/>
        <family val="2"/>
      </rPr>
      <t xml:space="preserve">稀疏</t>
    </r>
    <r>
      <rPr>
        <i val="true"/>
        <sz val="8.5"/>
        <color rgb="FF666666"/>
        <rFont val="Arial"/>
        <family val="0"/>
        <charset val="1"/>
      </rPr>
      <t xml:space="preserve">)</t>
    </r>
    <r>
      <rPr>
        <i val="true"/>
        <sz val="8.5"/>
        <color rgb="FF666666"/>
        <rFont val="Noto Sans CJK SC"/>
        <family val="2"/>
      </rPr>
      <t xml:space="preserve">：①质价比全能基站下探</t>
    </r>
    <r>
      <rPr>
        <i val="true"/>
        <sz val="8.5"/>
        <color rgb="FF666666"/>
        <rFont val="Arial"/>
        <family val="0"/>
        <charset val="1"/>
      </rPr>
      <t xml:space="preserve">¥1500-2000</t>
    </r>
    <r>
      <rPr>
        <i val="true"/>
        <sz val="8.5"/>
        <color rgb="FF666666"/>
        <rFont val="Noto Sans CJK SC"/>
        <family val="2"/>
      </rPr>
      <t xml:space="preserve">；②越障</t>
    </r>
    <r>
      <rPr>
        <i val="true"/>
        <sz val="8.5"/>
        <color rgb="FF666666"/>
        <rFont val="Arial"/>
        <family val="0"/>
        <charset val="1"/>
      </rPr>
      <t xml:space="preserve">/</t>
    </r>
    <r>
      <rPr>
        <i val="true"/>
        <sz val="8.5"/>
        <color rgb="FF666666"/>
        <rFont val="Noto Sans CJK SC"/>
        <family val="2"/>
      </rPr>
      <t xml:space="preserve">轻机械臂能力下放至</t>
    </r>
    <r>
      <rPr>
        <i val="true"/>
        <sz val="8.5"/>
        <color rgb="FF666666"/>
        <rFont val="Arial"/>
        <family val="0"/>
        <charset val="1"/>
      </rPr>
      <t xml:space="preserve">¥3000-4000</t>
    </r>
    <r>
      <rPr>
        <i val="true"/>
        <sz val="8.5"/>
        <color rgb="FF666666"/>
        <rFont val="Noto Sans CJK SC"/>
        <family val="2"/>
      </rPr>
      <t xml:space="preserve">。来源</t>
    </r>
    <r>
      <rPr>
        <i val="true"/>
        <sz val="8.5"/>
        <color rgb="FF666666"/>
        <rFont val="Arial"/>
        <family val="0"/>
        <charset val="1"/>
      </rPr>
      <t xml:space="preserve">:</t>
    </r>
    <r>
      <rPr>
        <i val="true"/>
        <sz val="8.5"/>
        <color rgb="FF666666"/>
        <rFont val="Noto Sans CJK SC"/>
        <family val="2"/>
      </rPr>
      <t xml:space="preserve">综合</t>
    </r>
    <r>
      <rPr>
        <i val="true"/>
        <sz val="8.5"/>
        <color rgb="FF666666"/>
        <rFont val="Arial"/>
        <family val="0"/>
        <charset val="1"/>
      </rPr>
      <t xml:space="preserve">IDC/</t>
    </r>
    <r>
      <rPr>
        <i val="true"/>
        <sz val="8.5"/>
        <color rgb="FF666666"/>
        <rFont val="Noto Sans CJK SC"/>
        <family val="2"/>
      </rPr>
      <t xml:space="preserve">奥维</t>
    </r>
    <r>
      <rPr>
        <i val="true"/>
        <sz val="8.5"/>
        <color rgb="FF666666"/>
        <rFont val="Arial"/>
        <family val="0"/>
        <charset val="1"/>
      </rPr>
      <t xml:space="preserve">/</t>
    </r>
    <r>
      <rPr>
        <i val="true"/>
        <sz val="8.5"/>
        <color rgb="FF666666"/>
        <rFont val="Noto Sans CJK SC"/>
        <family val="2"/>
      </rPr>
      <t xml:space="preserve">电商在售结构</t>
    </r>
    <r>
      <rPr>
        <i val="true"/>
        <sz val="8.5"/>
        <color rgb="FF666666"/>
        <rFont val="Arial"/>
        <family val="0"/>
        <charset val="1"/>
      </rPr>
      <t xml:space="preserve">,</t>
    </r>
    <r>
      <rPr>
        <i val="true"/>
        <sz val="8.5"/>
        <color rgb="FF666666"/>
        <rFont val="Noto Sans CJK SC"/>
        <family val="2"/>
      </rPr>
      <t xml:space="preserve">估算</t>
    </r>
  </si>
  <si>
    <r>
      <rPr>
        <i val="true"/>
        <sz val="8.5"/>
        <color rgb="FF666666"/>
        <rFont val="Noto Sans CJK SC"/>
        <family val="2"/>
      </rPr>
      <t xml:space="preserve">价格段映射</t>
    </r>
    <r>
      <rPr>
        <i val="true"/>
        <sz val="8.5"/>
        <color rgb="FF666666"/>
        <rFont val="Arial"/>
        <family val="0"/>
        <charset val="1"/>
      </rPr>
      <t xml:space="preserve">(</t>
    </r>
    <r>
      <rPr>
        <i val="true"/>
        <sz val="8.5"/>
        <color rgb="FF666666"/>
        <rFont val="Noto Sans CJK SC"/>
        <family val="2"/>
      </rPr>
      <t xml:space="preserve">全球</t>
    </r>
    <r>
      <rPr>
        <i val="true"/>
        <sz val="8.5"/>
        <color rgb="FF666666"/>
        <rFont val="Arial"/>
        <family val="0"/>
        <charset val="1"/>
      </rPr>
      <t xml:space="preserve">)</t>
    </r>
    <r>
      <rPr>
        <i val="true"/>
        <sz val="8.5"/>
        <color rgb="FF666666"/>
        <rFont val="Noto Sans CJK SC"/>
        <family val="2"/>
      </rPr>
      <t xml:space="preserve">：约 </t>
    </r>
    <r>
      <rPr>
        <i val="true"/>
        <sz val="8.5"/>
        <color rgb="FF666666"/>
        <rFont val="Arial"/>
        <family val="0"/>
        <charset val="1"/>
      </rPr>
      <t xml:space="preserve">&lt;$200 / $200-400 / $400-700 / &gt;$700</t>
    </r>
    <r>
      <rPr>
        <i val="true"/>
        <sz val="8.5"/>
        <color rgb="FF666666"/>
        <rFont val="Noto Sans CJK SC"/>
        <family val="2"/>
      </rPr>
      <t xml:space="preserve">。中国线上</t>
    </r>
    <r>
      <rPr>
        <i val="true"/>
        <sz val="8.5"/>
        <color rgb="FF666666"/>
        <rFont val="Arial"/>
        <family val="0"/>
        <charset val="1"/>
      </rPr>
      <t xml:space="preserve">CR5</t>
    </r>
    <r>
      <rPr>
        <i val="true"/>
        <sz val="8.5"/>
        <color rgb="FF666666"/>
        <rFont val="Noto Sans CJK SC"/>
        <family val="2"/>
      </rPr>
      <t xml:space="preserve">份额约</t>
    </r>
    <r>
      <rPr>
        <i val="true"/>
        <sz val="8.5"/>
        <color rgb="FF666666"/>
        <rFont val="Arial"/>
        <family val="0"/>
        <charset val="1"/>
      </rPr>
      <t xml:space="preserve">93.8%[23]</t>
    </r>
    <r>
      <rPr>
        <i val="true"/>
        <sz val="8.5"/>
        <color rgb="FF666666"/>
        <rFont val="Noto Sans CJK SC"/>
        <family val="2"/>
      </rPr>
      <t xml:space="preserve">，单机款在售已极少</t>
    </r>
    <r>
      <rPr>
        <i val="true"/>
        <sz val="8.5"/>
        <color rgb="FF666666"/>
        <rFont val="Arial"/>
        <family val="0"/>
        <charset val="1"/>
      </rPr>
      <t xml:space="preserve">[22]</t>
    </r>
    <r>
      <rPr>
        <i val="true"/>
        <sz val="8.5"/>
        <color rgb="FF666666"/>
        <rFont val="Noto Sans CJK SC"/>
        <family val="2"/>
      </rPr>
      <t xml:space="preserve">。</t>
    </r>
  </si>
  <si>
    <r>
      <rPr>
        <b val="true"/>
        <sz val="13"/>
        <color rgb="FF1B2631"/>
        <rFont val="Noto Sans CJK SC"/>
        <family val="2"/>
      </rPr>
      <t xml:space="preserve">主要竞品对比（价格为约值</t>
    </r>
    <r>
      <rPr>
        <b val="true"/>
        <sz val="13"/>
        <color rgb="FF1B2631"/>
        <rFont val="Arial"/>
        <family val="0"/>
        <charset val="1"/>
      </rPr>
      <t xml:space="preserve">;</t>
    </r>
    <r>
      <rPr>
        <b val="true"/>
        <sz val="13"/>
        <color rgb="FF1B2631"/>
        <rFont val="Noto Sans CJK SC"/>
        <family val="2"/>
      </rPr>
      <t xml:space="preserve">海外美元价</t>
    </r>
    <r>
      <rPr>
        <b val="true"/>
        <sz val="13"/>
        <color rgb="FF1B2631"/>
        <rFont val="Arial"/>
        <family val="0"/>
        <charset val="1"/>
      </rPr>
      <t xml:space="preserve">,</t>
    </r>
    <r>
      <rPr>
        <b val="true"/>
        <sz val="13"/>
        <color rgb="FF1B2631"/>
        <rFont val="Noto Sans CJK SC"/>
        <family val="2"/>
      </rPr>
      <t xml:space="preserve">中国人民币价</t>
    </r>
    <r>
      <rPr>
        <b val="true"/>
        <sz val="13"/>
        <color rgb="FF1B2631"/>
        <rFont val="Arial"/>
        <family val="0"/>
        <charset val="1"/>
      </rPr>
      <t xml:space="preserve">;2026</t>
    </r>
    <r>
      <rPr>
        <b val="true"/>
        <sz val="13"/>
        <color rgb="FF1B2631"/>
        <rFont val="Noto Sans CJK SC"/>
        <family val="2"/>
      </rPr>
      <t xml:space="preserve">年中）</t>
    </r>
  </si>
  <si>
    <r>
      <rPr>
        <b val="true"/>
        <sz val="10"/>
        <color rgb="FFFFFFFF"/>
        <rFont val="Noto Sans CJK SC"/>
        <family val="2"/>
      </rPr>
      <t xml:space="preserve">品牌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型号</t>
    </r>
  </si>
  <si>
    <t xml:space="preserve">市场</t>
  </si>
  <si>
    <t xml:space="preserve">价位段</t>
  </si>
  <si>
    <t xml:space="preserve">参考价</t>
  </si>
  <si>
    <r>
      <rPr>
        <b val="true"/>
        <sz val="10"/>
        <color rgb="FFFFFFFF"/>
        <rFont val="Noto Sans CJK SC"/>
        <family val="2"/>
      </rPr>
      <t xml:space="preserve">导航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避障</t>
    </r>
  </si>
  <si>
    <t xml:space="preserve">吸力</t>
  </si>
  <si>
    <t xml:space="preserve">拖地方案</t>
  </si>
  <si>
    <t xml:space="preserve">基站功能</t>
  </si>
  <si>
    <t xml:space="preserve">主打卖点</t>
  </si>
  <si>
    <r>
      <rPr>
        <sz val="10"/>
        <rFont val="Arial"/>
        <family val="0"/>
        <charset val="1"/>
      </rPr>
      <t xml:space="preserve">Roborock </t>
    </r>
    <r>
      <rPr>
        <sz val="10"/>
        <rFont val="Noto Sans CJK SC"/>
        <family val="2"/>
      </rPr>
      <t xml:space="preserve">石头 </t>
    </r>
    <r>
      <rPr>
        <sz val="10"/>
        <rFont val="Arial"/>
        <family val="0"/>
        <charset val="1"/>
      </rPr>
      <t xml:space="preserve">Saros Z70</t>
    </r>
  </si>
  <si>
    <t xml:space="preserve">全球</t>
  </si>
  <si>
    <t xml:space="preserve">旗舰</t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</si>
  <si>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$2000+</t>
    </r>
  </si>
  <si>
    <r>
      <rPr>
        <sz val="10"/>
        <rFont val="Arial"/>
        <family val="0"/>
        <charset val="1"/>
      </rPr>
      <t xml:space="preserve">LiDAR+AI 108</t>
    </r>
    <r>
      <rPr>
        <sz val="10"/>
        <rFont val="Noto Sans CJK SC"/>
        <family val="2"/>
      </rPr>
      <t xml:space="preserve">类</t>
    </r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</si>
  <si>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22000Pa</t>
    </r>
  </si>
  <si>
    <t xml:space="preserve">双旋转拖布</t>
  </si>
  <si>
    <r>
      <rPr>
        <sz val="10"/>
        <rFont val="Noto Sans CJK SC"/>
        <family val="2"/>
      </rPr>
      <t xml:space="preserve">全能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热水洗</t>
    </r>
  </si>
  <si>
    <r>
      <rPr>
        <sz val="10"/>
        <rFont val="Noto Sans CJK SC"/>
        <family val="2"/>
      </rPr>
      <t xml:space="preserve">机械臂抓取</t>
    </r>
    <r>
      <rPr>
        <sz val="10"/>
        <rFont val="Arial"/>
        <family val="0"/>
        <charset val="1"/>
      </rPr>
      <t xml:space="preserve">&lt;300g</t>
    </r>
    <r>
      <rPr>
        <sz val="10"/>
        <rFont val="Noto Sans CJK SC"/>
        <family val="2"/>
      </rPr>
      <t xml:space="preserve">物品</t>
    </r>
    <r>
      <rPr>
        <sz val="10"/>
        <rFont val="Arial"/>
        <family val="0"/>
        <charset val="1"/>
      </rPr>
      <t xml:space="preserve">;3D</t>
    </r>
    <r>
      <rPr>
        <sz val="10"/>
        <rFont val="Noto Sans CJK SC"/>
        <family val="2"/>
      </rPr>
      <t xml:space="preserve">空间整理</t>
    </r>
  </si>
  <si>
    <t xml:space="preserve">30,35</t>
  </si>
  <si>
    <r>
      <rPr>
        <sz val="10"/>
        <rFont val="Arial"/>
        <family val="0"/>
        <charset val="1"/>
      </rPr>
      <t xml:space="preserve">Dreame </t>
    </r>
    <r>
      <rPr>
        <sz val="10"/>
        <rFont val="Noto Sans CJK SC"/>
        <family val="2"/>
      </rPr>
      <t xml:space="preserve">追觅 </t>
    </r>
    <r>
      <rPr>
        <sz val="10"/>
        <rFont val="Arial"/>
        <family val="0"/>
        <charset val="1"/>
      </rPr>
      <t xml:space="preserve">X60 Max Ultra</t>
    </r>
  </si>
  <si>
    <t xml:space="preserve">$1699</t>
  </si>
  <si>
    <t xml:space="preserve">LiDAR+AI</t>
  </si>
  <si>
    <t xml:space="preserve">35000Pa</t>
  </si>
  <si>
    <t xml:space="preserve">可升降拖布</t>
  </si>
  <si>
    <r>
      <rPr>
        <sz val="10"/>
        <rFont val="Arial"/>
        <family val="0"/>
        <charset val="1"/>
      </rPr>
      <t xml:space="preserve">ThermoHub 100°C</t>
    </r>
    <r>
      <rPr>
        <sz val="10"/>
        <rFont val="Noto Sans CJK SC"/>
        <family val="2"/>
      </rPr>
      <t xml:space="preserve">洗拖</t>
    </r>
  </si>
  <si>
    <r>
      <rPr>
        <sz val="10"/>
        <rFont val="Arial"/>
        <family val="0"/>
        <charset val="1"/>
      </rPr>
      <t xml:space="preserve">ProLeap</t>
    </r>
    <r>
      <rPr>
        <sz val="10"/>
        <rFont val="Noto Sans CJK SC"/>
        <family val="2"/>
      </rPr>
      <t xml:space="preserve">腿足越障</t>
    </r>
    <r>
      <rPr>
        <sz val="10"/>
        <rFont val="Arial"/>
        <family val="0"/>
        <charset val="1"/>
      </rPr>
      <t xml:space="preserve">3.47in;</t>
    </r>
    <r>
      <rPr>
        <sz val="10"/>
        <rFont val="Noto Sans CJK SC"/>
        <family val="2"/>
      </rPr>
      <t xml:space="preserve">最高吸力</t>
    </r>
  </si>
  <si>
    <t xml:space="preserve">28,35,37</t>
  </si>
  <si>
    <r>
      <rPr>
        <sz val="10"/>
        <rFont val="Arial"/>
        <family val="0"/>
        <charset val="1"/>
      </rPr>
      <t xml:space="preserve">Dreame </t>
    </r>
    <r>
      <rPr>
        <sz val="10"/>
        <rFont val="Noto Sans CJK SC"/>
        <family val="2"/>
      </rPr>
      <t xml:space="preserve">追觅 </t>
    </r>
    <r>
      <rPr>
        <sz val="10"/>
        <rFont val="Arial"/>
        <family val="0"/>
        <charset val="1"/>
      </rPr>
      <t xml:space="preserve">L50 Ultra</t>
    </r>
  </si>
  <si>
    <t xml:space="preserve">高端</t>
  </si>
  <si>
    <r>
      <rPr>
        <sz val="10"/>
        <rFont val="Arial"/>
        <family val="0"/>
        <charset val="1"/>
      </rPr>
      <t xml:space="preserve">$799(</t>
    </r>
    <r>
      <rPr>
        <sz val="10"/>
        <rFont val="Noto Sans CJK SC"/>
        <family val="2"/>
      </rPr>
      <t xml:space="preserve">降自</t>
    </r>
    <r>
      <rPr>
        <sz val="10"/>
        <rFont val="Arial"/>
        <family val="0"/>
        <charset val="1"/>
      </rPr>
      <t xml:space="preserve">$1399)</t>
    </r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</si>
  <si>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19000Pa</t>
    </r>
  </si>
  <si>
    <t xml:space="preserve">全能基站</t>
  </si>
  <si>
    <r>
      <rPr>
        <sz val="10"/>
        <rFont val="Noto Sans CJK SC"/>
        <family val="2"/>
      </rPr>
      <t xml:space="preserve">质价比标杆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碾压性性价比</t>
    </r>
  </si>
  <si>
    <t xml:space="preserve">35,36</t>
  </si>
  <si>
    <t xml:space="preserve">Roborock Qrevo CurvX</t>
  </si>
  <si>
    <t xml:space="preserve">$899-999</t>
  </si>
  <si>
    <t xml:space="preserve">LiDAR+Reactive AI</t>
  </si>
  <si>
    <t xml:space="preserve">22000Pa</t>
  </si>
  <si>
    <r>
      <rPr>
        <sz val="10"/>
        <rFont val="Noto Sans CJK SC"/>
        <family val="2"/>
      </rPr>
      <t xml:space="preserve">双拖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防缠</t>
    </r>
  </si>
  <si>
    <r>
      <rPr>
        <sz val="10"/>
        <rFont val="Noto Sans CJK SC"/>
        <family val="2"/>
      </rPr>
      <t xml:space="preserve">热水洗拖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烘干</t>
    </r>
  </si>
  <si>
    <r>
      <rPr>
        <sz val="10"/>
        <rFont val="Arial"/>
        <family val="0"/>
        <charset val="1"/>
      </rPr>
      <t xml:space="preserve">3.14in</t>
    </r>
    <r>
      <rPr>
        <sz val="10"/>
        <rFont val="Noto Sans CJK SC"/>
        <family val="2"/>
      </rPr>
      <t xml:space="preserve">超薄</t>
    </r>
    <r>
      <rPr>
        <sz val="10"/>
        <rFont val="Arial"/>
        <family val="0"/>
        <charset val="1"/>
      </rPr>
      <t xml:space="preserve">;AdaptiLift</t>
    </r>
    <r>
      <rPr>
        <sz val="10"/>
        <rFont val="Noto Sans CJK SC"/>
        <family val="2"/>
      </rPr>
      <t xml:space="preserve">底盘</t>
    </r>
  </si>
  <si>
    <t xml:space="preserve">Eufy Omni S2</t>
  </si>
  <si>
    <t xml:space="preserve">$1599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</si>
  <si>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视觉</t>
    </r>
  </si>
  <si>
    <t xml:space="preserve">30000Pa</t>
  </si>
  <si>
    <r>
      <rPr>
        <sz val="10"/>
        <rFont val="Arial"/>
        <family val="0"/>
        <charset val="1"/>
      </rPr>
      <t xml:space="preserve">HydroJet</t>
    </r>
    <r>
      <rPr>
        <sz val="10"/>
        <rFont val="Noto Sans CJK SC"/>
        <family val="2"/>
      </rPr>
      <t xml:space="preserve">滚筒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</si>
  <si>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自维护</t>
    </r>
  </si>
  <si>
    <r>
      <rPr>
        <sz val="10"/>
        <rFont val="Noto Sans CJK SC"/>
        <family val="2"/>
      </rPr>
      <t xml:space="preserve">滚筒拖布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边角清洁强</t>
    </r>
  </si>
  <si>
    <t xml:space="preserve">34,36</t>
  </si>
  <si>
    <t xml:space="preserve">Narwal Flow</t>
  </si>
  <si>
    <t xml:space="preserve">$1499</t>
  </si>
  <si>
    <t xml:space="preserve">AI</t>
  </si>
  <si>
    <t xml:space="preserve">实时自清洁滚筒</t>
  </si>
  <si>
    <t xml:space="preserve">全能</t>
  </si>
  <si>
    <r>
      <rPr>
        <sz val="10"/>
        <rFont val="Noto Sans CJK SC"/>
        <family val="2"/>
      </rPr>
      <t xml:space="preserve">硬地板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顽固污渍场景最优</t>
    </r>
  </si>
  <si>
    <t xml:space="preserve">36,29</t>
  </si>
  <si>
    <r>
      <rPr>
        <sz val="10"/>
        <rFont val="Arial"/>
        <family val="0"/>
        <charset val="1"/>
      </rPr>
      <t xml:space="preserve">Ecovacs </t>
    </r>
    <r>
      <rPr>
        <sz val="10"/>
        <rFont val="Noto Sans CJK SC"/>
        <family val="2"/>
      </rPr>
      <t xml:space="preserve">科沃斯 </t>
    </r>
    <r>
      <rPr>
        <sz val="10"/>
        <rFont val="Arial"/>
        <family val="0"/>
        <charset val="1"/>
      </rPr>
      <t xml:space="preserve">T80/T50</t>
    </r>
  </si>
  <si>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中国</t>
    </r>
  </si>
  <si>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高端</t>
    </r>
  </si>
  <si>
    <r>
      <rPr>
        <sz val="10"/>
        <rFont val="Arial"/>
        <family val="0"/>
        <charset val="1"/>
      </rPr>
      <t xml:space="preserve">$399</t>
    </r>
    <r>
      <rPr>
        <sz val="10"/>
        <rFont val="Noto Sans CJK SC"/>
        <family val="2"/>
      </rPr>
      <t xml:space="preserve">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美</t>
    </r>
    <r>
      <rPr>
        <sz val="10"/>
        <rFont val="Arial"/>
        <family val="0"/>
        <charset val="1"/>
      </rPr>
      <t xml:space="preserve">);¥2799+(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)</t>
    </r>
  </si>
  <si>
    <t xml:space="preserve">AIVI 3D+LiDAR</t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</si>
  <si>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18000Pa</t>
    </r>
  </si>
  <si>
    <t xml:space="preserve">旋转拖布</t>
  </si>
  <si>
    <r>
      <rPr>
        <sz val="10"/>
        <rFont val="Noto Sans CJK SC"/>
        <family val="2"/>
      </rPr>
      <t xml:space="preserve">线下渠道强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新品类协同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擦窗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割草</t>
    </r>
    <r>
      <rPr>
        <sz val="10"/>
        <rFont val="Arial"/>
        <family val="0"/>
        <charset val="1"/>
      </rPr>
      <t xml:space="preserve">)</t>
    </r>
  </si>
  <si>
    <t xml:space="preserve">8,34</t>
  </si>
  <si>
    <t xml:space="preserve">MOVA P10 Pro Ultra</t>
  </si>
  <si>
    <r>
      <rPr>
        <sz val="10"/>
        <rFont val="Noto Sans CJK SC"/>
        <family val="2"/>
      </rPr>
      <t xml:space="preserve">中端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预算</t>
    </r>
    <r>
      <rPr>
        <sz val="10"/>
        <rFont val="Arial"/>
        <family val="0"/>
        <charset val="1"/>
      </rPr>
      <t xml:space="preserve">)</t>
    </r>
  </si>
  <si>
    <t xml:space="preserve">$399</t>
  </si>
  <si>
    <t xml:space="preserve">LiDAR</t>
  </si>
  <si>
    <t xml:space="preserve">旗舰功能下放至预算价位</t>
  </si>
  <si>
    <t xml:space="preserve">21,87</t>
  </si>
  <si>
    <r>
      <rPr>
        <sz val="10"/>
        <rFont val="Noto Sans CJK SC"/>
        <family val="2"/>
      </rPr>
      <t xml:space="preserve">科沃斯 </t>
    </r>
    <r>
      <rPr>
        <sz val="10"/>
        <rFont val="Arial"/>
        <family val="0"/>
        <charset val="1"/>
      </rPr>
      <t xml:space="preserve">T30/T80(</t>
    </r>
    <r>
      <rPr>
        <sz val="10"/>
        <rFont val="Noto Sans CJK SC"/>
        <family val="2"/>
      </rPr>
      <t xml:space="preserve">中国</t>
    </r>
    <r>
      <rPr>
        <sz val="10"/>
        <rFont val="Arial"/>
        <family val="0"/>
        <charset val="1"/>
      </rPr>
      <t xml:space="preserve">)</t>
    </r>
  </si>
  <si>
    <t xml:space="preserve">中国</t>
  </si>
  <si>
    <t xml:space="preserve">¥2799-4299</t>
  </si>
  <si>
    <t xml:space="preserve">AIVI 3D</t>
  </si>
  <si>
    <r>
      <rPr>
        <sz val="10"/>
        <rFont val="Arial"/>
        <family val="0"/>
        <charset val="1"/>
      </rPr>
      <t xml:space="preserve">3700Pa(</t>
    </r>
    <r>
      <rPr>
        <sz val="10"/>
        <rFont val="Noto Sans CJK SC"/>
        <family val="2"/>
      </rPr>
      <t xml:space="preserve">对地压强</t>
    </r>
    <r>
      <rPr>
        <sz val="10"/>
        <rFont val="Arial"/>
        <family val="0"/>
        <charset val="1"/>
      </rPr>
      <t xml:space="preserve">,T80)</t>
    </r>
  </si>
  <si>
    <r>
      <rPr>
        <sz val="10"/>
        <rFont val="Noto Sans CJK SC"/>
        <family val="2"/>
      </rPr>
      <t xml:space="preserve">全能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上下水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</si>
  <si>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国内份额第一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全能基站普及</t>
    </r>
  </si>
  <si>
    <t xml:space="preserve">8,14</t>
  </si>
  <si>
    <r>
      <rPr>
        <sz val="10"/>
        <rFont val="Noto Sans CJK SC"/>
        <family val="2"/>
      </rPr>
      <t xml:space="preserve">石头 </t>
    </r>
    <r>
      <rPr>
        <sz val="10"/>
        <rFont val="Arial"/>
        <family val="0"/>
        <charset val="1"/>
      </rPr>
      <t xml:space="preserve">G30/P10S(</t>
    </r>
    <r>
      <rPr>
        <sz val="10"/>
        <rFont val="Noto Sans CJK SC"/>
        <family val="2"/>
      </rPr>
      <t xml:space="preserve">中国</t>
    </r>
    <r>
      <rPr>
        <sz val="10"/>
        <rFont val="Arial"/>
        <family val="0"/>
        <charset val="1"/>
      </rPr>
      <t xml:space="preserve">)</t>
    </r>
  </si>
  <si>
    <t xml:space="preserve">¥2999-4999</t>
  </si>
  <si>
    <r>
      <rPr>
        <sz val="10"/>
        <rFont val="Noto Sans CJK SC"/>
        <family val="2"/>
      </rPr>
      <t xml:space="preserve">双旋转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仿生</t>
    </r>
  </si>
  <si>
    <r>
      <rPr>
        <sz val="10"/>
        <rFont val="Noto Sans CJK SC"/>
        <family val="2"/>
      </rPr>
      <t xml:space="preserve">国内线上份额逼近科沃斯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出海第一</t>
    </r>
  </si>
  <si>
    <t xml:space="preserve">37,16</t>
  </si>
  <si>
    <r>
      <rPr>
        <sz val="10"/>
        <rFont val="Noto Sans CJK SC"/>
        <family val="2"/>
      </rPr>
      <t xml:space="preserve">追觅 </t>
    </r>
    <r>
      <rPr>
        <sz val="10"/>
        <rFont val="Arial"/>
        <family val="0"/>
        <charset val="1"/>
      </rPr>
      <t xml:space="preserve">X50 Ultra(</t>
    </r>
    <r>
      <rPr>
        <sz val="10"/>
        <rFont val="Noto Sans CJK SC"/>
        <family val="2"/>
      </rPr>
      <t xml:space="preserve">中国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</si>
  <si>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¥4699</t>
    </r>
  </si>
  <si>
    <r>
      <rPr>
        <sz val="10"/>
        <rFont val="Noto Sans CJK SC"/>
        <family val="2"/>
      </rPr>
      <t xml:space="preserve">全能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越障</t>
    </r>
  </si>
  <si>
    <r>
      <rPr>
        <sz val="10"/>
        <rFont val="Noto Sans CJK SC"/>
        <family val="2"/>
      </rPr>
      <t xml:space="preserve">机械臂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越障技术激进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增速最快</t>
    </r>
  </si>
  <si>
    <t xml:space="preserve">15,18</t>
  </si>
  <si>
    <r>
      <rPr>
        <sz val="10"/>
        <rFont val="Noto Sans CJK SC"/>
        <family val="2"/>
      </rPr>
      <t xml:space="preserve">云鲸 逍遥</t>
    </r>
    <r>
      <rPr>
        <sz val="10"/>
        <rFont val="Arial"/>
        <family val="0"/>
        <charset val="1"/>
      </rPr>
      <t xml:space="preserve">003(</t>
    </r>
    <r>
      <rPr>
        <sz val="10"/>
        <rFont val="Noto Sans CJK SC"/>
        <family val="2"/>
      </rPr>
      <t xml:space="preserve">中国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</si>
  <si>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¥5199</t>
    </r>
  </si>
  <si>
    <r>
      <rPr>
        <sz val="10"/>
        <rFont val="Arial"/>
        <family val="0"/>
        <charset val="1"/>
      </rPr>
      <t xml:space="preserve">LiDAR+</t>
    </r>
    <r>
      <rPr>
        <sz val="10"/>
        <rFont val="Noto Sans CJK SC"/>
        <family val="2"/>
      </rPr>
      <t xml:space="preserve">贵物识别</t>
    </r>
  </si>
  <si>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31000Pa</t>
    </r>
  </si>
  <si>
    <t xml:space="preserve">双盘旋转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</si>
  <si>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鲸灵托管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自清洁系统起家</t>
    </r>
  </si>
  <si>
    <t xml:space="preserve">54</t>
  </si>
  <si>
    <r>
      <rPr>
        <sz val="10"/>
        <rFont val="Arial"/>
        <family val="0"/>
        <charset val="1"/>
      </rPr>
      <t xml:space="preserve">iRobot Roomba(</t>
    </r>
    <r>
      <rPr>
        <sz val="10"/>
        <rFont val="Noto Sans CJK SC"/>
        <family val="2"/>
      </rPr>
      <t xml:space="preserve">收购后</t>
    </r>
    <r>
      <rPr>
        <sz val="10"/>
        <rFont val="Arial"/>
        <family val="0"/>
        <charset val="1"/>
      </rPr>
      <t xml:space="preserve">)</t>
    </r>
  </si>
  <si>
    <t xml:space="preserve">下探中</t>
  </si>
  <si>
    <r>
      <rPr>
        <sz val="10"/>
        <rFont val="Arial"/>
        <family val="0"/>
        <charset val="1"/>
      </rPr>
      <t xml:space="preserve">VSLAM/</t>
    </r>
    <r>
      <rPr>
        <sz val="10"/>
        <rFont val="Noto Sans CJK SC"/>
        <family val="2"/>
      </rPr>
      <t xml:space="preserve">视觉</t>
    </r>
  </si>
  <si>
    <r>
      <rPr>
        <sz val="10"/>
        <rFont val="Arial"/>
        <family val="0"/>
        <charset val="1"/>
      </rPr>
      <t xml:space="preserve">Combo</t>
    </r>
    <r>
      <rPr>
        <sz val="10"/>
        <rFont val="Noto Sans CJK SC"/>
        <family val="2"/>
      </rPr>
      <t xml:space="preserve">拖</t>
    </r>
  </si>
  <si>
    <t xml:space="preserve">部分自集尘</t>
  </si>
  <si>
    <r>
      <rPr>
        <sz val="10"/>
        <rFont val="Noto Sans CJK SC"/>
        <family val="2"/>
      </rPr>
      <t xml:space="preserve">品牌余温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质量口碑下滑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被</t>
    </r>
    <r>
      <rPr>
        <sz val="10"/>
        <rFont val="Arial"/>
        <family val="0"/>
        <charset val="1"/>
      </rPr>
      <t xml:space="preserve">Picea</t>
    </r>
    <r>
      <rPr>
        <sz val="10"/>
        <rFont val="Noto Sans CJK SC"/>
        <family val="2"/>
      </rPr>
      <t xml:space="preserve">收购</t>
    </r>
  </si>
  <si>
    <t xml:space="preserve">20,33,5</t>
  </si>
  <si>
    <r>
      <rPr>
        <b val="true"/>
        <sz val="13"/>
        <color rgb="FF1B2631"/>
        <rFont val="Noto Sans CJK SC"/>
        <family val="2"/>
      </rPr>
      <t xml:space="preserve">代表性 </t>
    </r>
    <r>
      <rPr>
        <b val="true"/>
        <sz val="13"/>
        <color rgb="FF1B2631"/>
        <rFont val="Arial"/>
        <family val="0"/>
        <charset val="1"/>
      </rPr>
      <t xml:space="preserve">BOM</t>
    </r>
    <r>
      <rPr>
        <b val="true"/>
        <sz val="13"/>
        <color rgb="FF1B2631"/>
        <rFont val="Noto Sans CJK SC"/>
        <family val="2"/>
      </rPr>
      <t xml:space="preserve">（中端全能基站机型，成本为量级估算，单位</t>
    </r>
    <r>
      <rPr>
        <b val="true"/>
        <sz val="13"/>
        <color rgb="FF1B2631"/>
        <rFont val="Arial"/>
        <family val="0"/>
        <charset val="1"/>
      </rPr>
      <t xml:space="preserve">:</t>
    </r>
    <r>
      <rPr>
        <b val="true"/>
        <sz val="13"/>
        <color rgb="FF1B2631"/>
        <rFont val="Noto Sans CJK SC"/>
        <family val="2"/>
      </rPr>
      <t xml:space="preserve">人民币元）</t>
    </r>
  </si>
  <si>
    <r>
      <rPr>
        <b val="true"/>
        <sz val="10"/>
        <color rgb="FFFFFFFF"/>
        <rFont val="Noto Sans CJK SC"/>
        <family val="2"/>
      </rPr>
      <t xml:space="preserve">物料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模块</t>
    </r>
  </si>
  <si>
    <t xml:space="preserve">主流方案</t>
  </si>
  <si>
    <r>
      <rPr>
        <b val="true"/>
        <sz val="10"/>
        <color rgb="FFFFFFFF"/>
        <rFont val="Noto Sans CJK SC"/>
        <family val="2"/>
      </rPr>
      <t xml:space="preserve">成本估算</t>
    </r>
    <r>
      <rPr>
        <b val="true"/>
        <sz val="10"/>
        <color rgb="FFFFFFFF"/>
        <rFont val="Arial"/>
        <family val="0"/>
        <charset val="1"/>
      </rPr>
      <t xml:space="preserve">(¥)</t>
    </r>
  </si>
  <si>
    <t xml:space="preserve">主要供应商</t>
  </si>
  <si>
    <r>
      <rPr>
        <b val="true"/>
        <sz val="10"/>
        <color rgb="FFFFFFFF"/>
        <rFont val="Noto Sans CJK SC"/>
        <family val="2"/>
      </rPr>
      <t xml:space="preserve">国产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进口</t>
    </r>
  </si>
  <si>
    <r>
      <rPr>
        <sz val="10"/>
        <rFont val="Noto Sans CJK SC"/>
        <family val="2"/>
      </rPr>
      <t xml:space="preserve">导航模组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激光头</t>
    </r>
    <r>
      <rPr>
        <sz val="10"/>
        <rFont val="Arial"/>
        <family val="0"/>
        <charset val="1"/>
      </rPr>
      <t xml:space="preserve">/LiDAR/dToF)</t>
    </r>
  </si>
  <si>
    <r>
      <rPr>
        <sz val="10"/>
        <rFont val="Arial"/>
        <family val="0"/>
        <charset val="1"/>
      </rPr>
      <t xml:space="preserve">LiDAR / </t>
    </r>
    <r>
      <rPr>
        <sz val="10"/>
        <rFont val="Noto Sans CJK SC"/>
        <family val="2"/>
      </rPr>
      <t xml:space="preserve">双</t>
    </r>
    <r>
      <rPr>
        <sz val="10"/>
        <rFont val="Arial"/>
        <family val="0"/>
        <charset val="1"/>
      </rPr>
      <t xml:space="preserve">TOF</t>
    </r>
    <r>
      <rPr>
        <sz val="10"/>
        <rFont val="Noto Sans CJK SC"/>
        <family val="2"/>
      </rPr>
      <t xml:space="preserve">星阵</t>
    </r>
  </si>
  <si>
    <r>
      <rPr>
        <sz val="10"/>
        <rFont val="Noto Sans CJK SC"/>
        <family val="2"/>
      </rPr>
      <t xml:space="preserve">欢创</t>
    </r>
    <r>
      <rPr>
        <sz val="10"/>
        <rFont val="Arial"/>
        <family val="0"/>
        <charset val="1"/>
      </rPr>
      <t xml:space="preserve">Camsense/</t>
    </r>
    <r>
      <rPr>
        <sz val="10"/>
        <rFont val="Noto Sans CJK SC"/>
        <family val="2"/>
      </rPr>
      <t xml:space="preserve">锐驰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禾赛系</t>
    </r>
  </si>
  <si>
    <t xml:space="preserve">国产为主</t>
  </si>
  <si>
    <r>
      <rPr>
        <sz val="10"/>
        <rFont val="Noto Sans CJK SC"/>
        <family val="2"/>
      </rPr>
      <t xml:space="preserve">主控</t>
    </r>
    <r>
      <rPr>
        <sz val="10"/>
        <rFont val="Arial"/>
        <family val="0"/>
        <charset val="1"/>
      </rPr>
      <t xml:space="preserve">/SoC+</t>
    </r>
    <r>
      <rPr>
        <sz val="10"/>
        <rFont val="Noto Sans CJK SC"/>
        <family val="2"/>
      </rPr>
      <t xml:space="preserve">运动控制</t>
    </r>
    <r>
      <rPr>
        <sz val="10"/>
        <rFont val="Arial"/>
        <family val="0"/>
        <charset val="1"/>
      </rPr>
      <t xml:space="preserve">MCU</t>
    </r>
  </si>
  <si>
    <r>
      <rPr>
        <sz val="10"/>
        <rFont val="Arial"/>
        <family val="0"/>
        <charset val="1"/>
      </rPr>
      <t xml:space="preserve">AI SoC(Rockchip/</t>
    </r>
    <r>
      <rPr>
        <sz val="10"/>
        <rFont val="Noto Sans CJK SC"/>
        <family val="2"/>
      </rPr>
      <t xml:space="preserve">全志等</t>
    </r>
    <r>
      <rPr>
        <sz val="10"/>
        <rFont val="Arial"/>
        <family val="0"/>
        <charset val="1"/>
      </rPr>
      <t xml:space="preserve">)+MCU</t>
    </r>
  </si>
  <si>
    <r>
      <rPr>
        <sz val="10"/>
        <rFont val="Noto Sans CJK SC"/>
        <family val="2"/>
      </rPr>
      <t xml:space="preserve">瑞芯微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全志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兆易创新</t>
    </r>
  </si>
  <si>
    <r>
      <rPr>
        <sz val="10"/>
        <rFont val="Noto Sans CJK SC"/>
        <family val="2"/>
      </rPr>
      <t xml:space="preserve">传感器组</t>
    </r>
    <r>
      <rPr>
        <sz val="10"/>
        <rFont val="Arial"/>
        <family val="0"/>
        <charset val="1"/>
      </rPr>
      <t xml:space="preserve">(IMU/</t>
    </r>
    <r>
      <rPr>
        <sz val="10"/>
        <rFont val="Noto Sans CJK SC"/>
        <family val="2"/>
      </rPr>
      <t xml:space="preserve">视觉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避障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沿边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</si>
  <si>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RGB</t>
    </r>
    <r>
      <rPr>
        <sz val="10"/>
        <rFont val="Noto Sans CJK SC"/>
        <family val="2"/>
      </rPr>
      <t xml:space="preserve">摄像头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结构光</t>
    </r>
    <r>
      <rPr>
        <sz val="10"/>
        <rFont val="Arial"/>
        <family val="0"/>
        <charset val="1"/>
      </rPr>
      <t xml:space="preserve">/3D ToF</t>
    </r>
  </si>
  <si>
    <r>
      <rPr>
        <sz val="10"/>
        <rFont val="Noto Sans CJK SC"/>
        <family val="2"/>
      </rPr>
      <t xml:space="preserve">索尼</t>
    </r>
    <r>
      <rPr>
        <sz val="10"/>
        <rFont val="Arial"/>
        <family val="0"/>
        <charset val="1"/>
      </rPr>
      <t xml:space="preserve">CIS(</t>
    </r>
    <r>
      <rPr>
        <sz val="10"/>
        <rFont val="Noto Sans CJK SC"/>
        <family val="2"/>
      </rPr>
      <t xml:space="preserve">进口</t>
    </r>
    <r>
      <rPr>
        <sz val="10"/>
        <rFont val="Arial"/>
        <family val="0"/>
        <charset val="1"/>
      </rPr>
      <t xml:space="preserve">)+</t>
    </r>
    <r>
      <rPr>
        <sz val="10"/>
        <rFont val="Noto Sans CJK SC"/>
        <family val="2"/>
      </rPr>
      <t xml:space="preserve">国产模组</t>
    </r>
  </si>
  <si>
    <t xml:space="preserve">混合</t>
  </si>
  <si>
    <t xml:space="preserve">电池电芯</t>
  </si>
  <si>
    <r>
      <rPr>
        <sz val="10"/>
        <rFont val="Noto Sans CJK SC"/>
        <family val="2"/>
      </rPr>
      <t xml:space="preserve">锂电 </t>
    </r>
    <r>
      <rPr>
        <sz val="10"/>
        <rFont val="Arial"/>
        <family val="0"/>
        <charset val="1"/>
      </rPr>
      <t xml:space="preserve">5200mAh</t>
    </r>
  </si>
  <si>
    <r>
      <rPr>
        <sz val="10"/>
        <rFont val="Noto Sans CJK SC"/>
        <family val="2"/>
      </rPr>
      <t xml:space="preserve">宁德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亿纬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比亚迪</t>
    </r>
  </si>
  <si>
    <t xml:space="preserve">国产</t>
  </si>
  <si>
    <r>
      <rPr>
        <sz val="10"/>
        <rFont val="Noto Sans CJK SC"/>
        <family val="2"/>
      </rPr>
      <t xml:space="preserve">电机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风机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行走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滚刷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</si>
  <si>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无刷高速风机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行走电机</t>
    </r>
  </si>
  <si>
    <r>
      <rPr>
        <sz val="10"/>
        <rFont val="Noto Sans CJK SC"/>
        <family val="2"/>
      </rPr>
      <t xml:space="preserve">东菱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德昌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自研</t>
    </r>
  </si>
  <si>
    <r>
      <rPr>
        <sz val="10"/>
        <rFont val="Noto Sans CJK SC"/>
        <family val="2"/>
      </rPr>
      <t xml:space="preserve">结构件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外壳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底盘</t>
    </r>
  </si>
  <si>
    <r>
      <rPr>
        <sz val="10"/>
        <rFont val="Arial"/>
        <family val="0"/>
        <charset val="1"/>
      </rPr>
      <t xml:space="preserve">ABS/PC</t>
    </r>
    <r>
      <rPr>
        <sz val="10"/>
        <rFont val="Noto Sans CJK SC"/>
        <family val="2"/>
      </rPr>
      <t xml:space="preserve">注塑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五金</t>
    </r>
  </si>
  <si>
    <t xml:space="preserve">珠三角注塑厂</t>
  </si>
  <si>
    <r>
      <rPr>
        <sz val="10"/>
        <rFont val="Noto Sans CJK SC"/>
        <family val="2"/>
      </rPr>
      <t xml:space="preserve">拖地系统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滚筒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旋转盘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升降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</si>
  <si>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双旋转盘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滚筒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升降机构</t>
    </r>
  </si>
  <si>
    <r>
      <rPr>
        <sz val="10"/>
        <rFont val="Noto Sans CJK SC"/>
        <family val="2"/>
      </rPr>
      <t xml:space="preserve">自研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模组厂</t>
    </r>
  </si>
  <si>
    <r>
      <rPr>
        <sz val="10"/>
        <rFont val="Arial"/>
        <family val="0"/>
        <charset val="1"/>
      </rPr>
      <t xml:space="preserve">PCBA/</t>
    </r>
    <r>
      <rPr>
        <sz val="10"/>
        <rFont val="Noto Sans CJK SC"/>
        <family val="2"/>
      </rPr>
      <t xml:space="preserve">连接器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电源管理</t>
    </r>
  </si>
  <si>
    <r>
      <rPr>
        <sz val="10"/>
        <rFont val="Noto Sans CJK SC"/>
        <family val="2"/>
      </rPr>
      <t xml:space="preserve">多层</t>
    </r>
    <r>
      <rPr>
        <sz val="10"/>
        <rFont val="Arial"/>
        <family val="0"/>
        <charset val="1"/>
      </rPr>
      <t xml:space="preserve">PCB+PMIC</t>
    </r>
  </si>
  <si>
    <r>
      <rPr>
        <sz val="10"/>
        <rFont val="Noto Sans CJK SC"/>
        <family val="2"/>
      </rPr>
      <t xml:space="preserve">国产</t>
    </r>
    <r>
      <rPr>
        <sz val="10"/>
        <rFont val="Arial"/>
        <family val="0"/>
        <charset val="1"/>
      </rPr>
      <t xml:space="preserve">PCB+TI/</t>
    </r>
    <r>
      <rPr>
        <sz val="10"/>
        <rFont val="Noto Sans CJK SC"/>
        <family val="2"/>
      </rPr>
      <t xml:space="preserve">国产</t>
    </r>
    <r>
      <rPr>
        <sz val="10"/>
        <rFont val="Arial"/>
        <family val="0"/>
        <charset val="1"/>
      </rPr>
      <t xml:space="preserve">PMIC</t>
    </r>
  </si>
  <si>
    <r>
      <rPr>
        <sz val="10"/>
        <rFont val="Arial"/>
        <family val="0"/>
        <charset val="1"/>
      </rPr>
      <t xml:space="preserve">Wi-Fi/</t>
    </r>
    <r>
      <rPr>
        <sz val="10"/>
        <rFont val="Noto Sans CJK SC"/>
        <family val="2"/>
      </rPr>
      <t xml:space="preserve">蓝牙模组</t>
    </r>
  </si>
  <si>
    <t xml:space="preserve">Wi-Fi6 SoC</t>
  </si>
  <si>
    <r>
      <rPr>
        <sz val="10"/>
        <rFont val="Noto Sans CJK SC"/>
        <family val="2"/>
      </rPr>
      <t xml:space="preserve">乐鑫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翱捷</t>
    </r>
  </si>
  <si>
    <r>
      <rPr>
        <sz val="10"/>
        <rFont val="Noto Sans CJK SC"/>
        <family val="2"/>
      </rPr>
      <t xml:space="preserve">基站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集尘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上下水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烘干</t>
    </r>
    <r>
      <rPr>
        <sz val="10"/>
        <rFont val="Arial"/>
        <family val="0"/>
        <charset val="1"/>
      </rPr>
      <t xml:space="preserve">)</t>
    </r>
  </si>
  <si>
    <t xml:space="preserve">全能基站总成</t>
  </si>
  <si>
    <r>
      <rPr>
        <sz val="10"/>
        <rFont val="Noto Sans CJK SC"/>
        <family val="2"/>
      </rPr>
      <t xml:space="preserve">自研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总装</t>
    </r>
  </si>
  <si>
    <r>
      <rPr>
        <sz val="10"/>
        <rFont val="Noto Sans CJK SC"/>
        <family val="2"/>
      </rPr>
      <t xml:space="preserve">其他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耗材首装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包材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线材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</si>
  <si>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尘袋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抹布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滤网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电源线</t>
    </r>
  </si>
  <si>
    <r>
      <rPr>
        <b val="true"/>
        <sz val="10"/>
        <rFont val="Arial"/>
        <family val="0"/>
        <charset val="1"/>
      </rPr>
      <t xml:space="preserve">BOM </t>
    </r>
    <r>
      <rPr>
        <b val="true"/>
        <sz val="10"/>
        <rFont val="Noto Sans CJK SC"/>
        <family val="2"/>
      </rPr>
      <t xml:space="preserve">合计（估算）</t>
    </r>
  </si>
  <si>
    <r>
      <rPr>
        <i val="true"/>
        <sz val="8.5"/>
        <color rgb="FF666666"/>
        <rFont val="Noto Sans CJK SC"/>
        <family val="2"/>
      </rPr>
      <t xml:space="preserve">注：</t>
    </r>
    <r>
      <rPr>
        <i val="true"/>
        <sz val="8.5"/>
        <color rgb="FF666666"/>
        <rFont val="Arial"/>
        <family val="0"/>
        <charset val="1"/>
      </rPr>
      <t xml:space="preserve">BOM</t>
    </r>
    <r>
      <rPr>
        <i val="true"/>
        <sz val="8.5"/>
        <color rgb="FF666666"/>
        <rFont val="Noto Sans CJK SC"/>
        <family val="2"/>
      </rPr>
      <t xml:space="preserve">随机型差异极大，旗舰</t>
    </r>
    <r>
      <rPr>
        <i val="true"/>
        <sz val="8.5"/>
        <color rgb="FF666666"/>
        <rFont val="Arial"/>
        <family val="0"/>
        <charset val="1"/>
      </rPr>
      <t xml:space="preserve">(</t>
    </r>
    <r>
      <rPr>
        <i val="true"/>
        <sz val="8.5"/>
        <color rgb="FF666666"/>
        <rFont val="Noto Sans CJK SC"/>
        <family val="2"/>
      </rPr>
      <t xml:space="preserve">机械臂</t>
    </r>
    <r>
      <rPr>
        <i val="true"/>
        <sz val="8.5"/>
        <color rgb="FF666666"/>
        <rFont val="Arial"/>
        <family val="0"/>
        <charset val="1"/>
      </rPr>
      <t xml:space="preserve">/</t>
    </r>
    <r>
      <rPr>
        <i val="true"/>
        <sz val="8.5"/>
        <color rgb="FF666666"/>
        <rFont val="Noto Sans CJK SC"/>
        <family val="2"/>
      </rPr>
      <t xml:space="preserve">越障</t>
    </r>
    <r>
      <rPr>
        <i val="true"/>
        <sz val="8.5"/>
        <color rgb="FF666666"/>
        <rFont val="Arial"/>
        <family val="0"/>
        <charset val="1"/>
      </rPr>
      <t xml:space="preserve">)BOM</t>
    </r>
    <r>
      <rPr>
        <i val="true"/>
        <sz val="8.5"/>
        <color rgb="FF666666"/>
        <rFont val="Noto Sans CJK SC"/>
        <family val="2"/>
      </rPr>
      <t xml:space="preserve">可达</t>
    </r>
    <r>
      <rPr>
        <i val="true"/>
        <sz val="8.5"/>
        <color rgb="FF666666"/>
        <rFont val="Arial"/>
        <family val="0"/>
        <charset val="1"/>
      </rPr>
      <t xml:space="preserve">¥2500-4000+</t>
    </r>
    <r>
      <rPr>
        <i val="true"/>
        <sz val="8.5"/>
        <color rgb="FF666666"/>
        <rFont val="Noto Sans CJK SC"/>
        <family val="2"/>
      </rPr>
      <t xml:space="preserve">；本表为中端全能基站量级估算。导航</t>
    </r>
    <r>
      <rPr>
        <i val="true"/>
        <sz val="8.5"/>
        <color rgb="FF666666"/>
        <rFont val="Arial"/>
        <family val="0"/>
        <charset val="1"/>
      </rPr>
      <t xml:space="preserve">/</t>
    </r>
    <r>
      <rPr>
        <i val="true"/>
        <sz val="8.5"/>
        <color rgb="FF666666"/>
        <rFont val="Noto Sans CJK SC"/>
        <family val="2"/>
      </rPr>
      <t xml:space="preserve">芯片</t>
    </r>
    <r>
      <rPr>
        <i val="true"/>
        <sz val="8.5"/>
        <color rgb="FF666666"/>
        <rFont val="Arial"/>
        <family val="0"/>
        <charset val="1"/>
      </rPr>
      <t xml:space="preserve">/</t>
    </r>
    <r>
      <rPr>
        <i val="true"/>
        <sz val="8.5"/>
        <color rgb="FF666666"/>
        <rFont val="Noto Sans CJK SC"/>
        <family val="2"/>
      </rPr>
      <t xml:space="preserve">电机</t>
    </r>
    <r>
      <rPr>
        <i val="true"/>
        <sz val="8.5"/>
        <color rgb="FF666666"/>
        <rFont val="Arial"/>
        <family val="0"/>
        <charset val="1"/>
      </rPr>
      <t xml:space="preserve">/</t>
    </r>
    <r>
      <rPr>
        <i val="true"/>
        <sz val="8.5"/>
        <color rgb="FF666666"/>
        <rFont val="Noto Sans CJK SC"/>
        <family val="2"/>
      </rPr>
      <t xml:space="preserve">基站为成本大头</t>
    </r>
    <r>
      <rPr>
        <i val="true"/>
        <sz val="8.5"/>
        <color rgb="FF666666"/>
        <rFont val="Arial"/>
        <family val="0"/>
        <charset val="1"/>
      </rPr>
      <t xml:space="preserve">[24][25]</t>
    </r>
    <r>
      <rPr>
        <i val="true"/>
        <sz val="8.5"/>
        <color rgb="FF666666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</si>
  <si>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单位经济测算（中端全能基站，以中国零售场景为例；公式联动</t>
    </r>
    <r>
      <rPr>
        <b val="true"/>
        <sz val="10"/>
        <rFont val="Arial"/>
        <family val="0"/>
        <charset val="1"/>
      </rPr>
      <t xml:space="preserve">BOM</t>
    </r>
    <r>
      <rPr>
        <b val="true"/>
        <sz val="10"/>
        <rFont val="Noto Sans CJK SC"/>
        <family val="2"/>
      </rPr>
      <t xml:space="preserve">合计）</t>
    </r>
  </si>
  <si>
    <t xml:space="preserve">科目</t>
  </si>
  <si>
    <r>
      <rPr>
        <b val="true"/>
        <sz val="10"/>
        <color rgb="FFFFFFFF"/>
        <rFont val="Noto Sans CJK SC"/>
        <family val="2"/>
      </rPr>
      <t xml:space="preserve">数值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比例</t>
    </r>
  </si>
  <si>
    <r>
      <rPr>
        <b val="true"/>
        <sz val="10"/>
        <color rgb="FFFFFFFF"/>
        <rFont val="Noto Sans CJK SC"/>
        <family val="2"/>
      </rPr>
      <t xml:space="preserve">金额</t>
    </r>
    <r>
      <rPr>
        <b val="true"/>
        <sz val="10"/>
        <color rgb="FFFFFFFF"/>
        <rFont val="Arial"/>
        <family val="0"/>
        <charset val="1"/>
      </rPr>
      <t xml:space="preserve">(¥)</t>
    </r>
  </si>
  <si>
    <t xml:space="preserve">说明</t>
  </si>
  <si>
    <r>
      <rPr>
        <sz val="10"/>
        <rFont val="Arial"/>
        <family val="0"/>
        <charset val="1"/>
      </rPr>
      <t xml:space="preserve">BOM </t>
    </r>
    <r>
      <rPr>
        <sz val="10"/>
        <rFont val="Noto Sans CJK SC"/>
        <family val="2"/>
      </rPr>
      <t xml:space="preserve">成本</t>
    </r>
  </si>
  <si>
    <r>
      <rPr>
        <i val="true"/>
        <sz val="8.5"/>
        <color rgb="FF666666"/>
        <rFont val="Noto Sans CJK SC"/>
        <family val="2"/>
      </rPr>
      <t xml:space="preserve">物料合计</t>
    </r>
    <r>
      <rPr>
        <i val="true"/>
        <sz val="8.5"/>
        <color rgb="FF666666"/>
        <rFont val="Arial"/>
        <family val="0"/>
        <charset val="1"/>
      </rPr>
      <t xml:space="preserve">(</t>
    </r>
    <r>
      <rPr>
        <i val="true"/>
        <sz val="8.5"/>
        <color rgb="FF666666"/>
        <rFont val="Noto Sans CJK SC"/>
        <family val="2"/>
      </rPr>
      <t xml:space="preserve">估算</t>
    </r>
    <r>
      <rPr>
        <i val="true"/>
        <sz val="8.5"/>
        <color rgb="FF666666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</si>
  <si>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制造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组装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良率损耗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占</t>
    </r>
    <r>
      <rPr>
        <sz val="10"/>
        <rFont val="Arial"/>
        <family val="0"/>
        <charset val="1"/>
      </rPr>
      <t xml:space="preserve">BOM)</t>
    </r>
  </si>
  <si>
    <r>
      <rPr>
        <i val="true"/>
        <sz val="8.5"/>
        <color rgb="FF666666"/>
        <rFont val="Noto Sans CJK SC"/>
        <family val="2"/>
      </rPr>
      <t xml:space="preserve">按</t>
    </r>
    <r>
      <rPr>
        <i val="true"/>
        <sz val="8.5"/>
        <color rgb="FF666666"/>
        <rFont val="Arial"/>
        <family val="0"/>
        <charset val="1"/>
      </rPr>
      <t xml:space="preserve">BOM 12%</t>
    </r>
    <r>
      <rPr>
        <i val="true"/>
        <sz val="8.5"/>
        <color rgb="FF666666"/>
        <rFont val="Noto Sans CJK SC"/>
        <family val="2"/>
      </rPr>
      <t xml:space="preserve">估</t>
    </r>
  </si>
  <si>
    <r>
      <rPr>
        <sz val="10"/>
        <rFont val="Noto Sans CJK SC"/>
        <family val="2"/>
      </rPr>
      <t xml:space="preserve">出厂成本</t>
    </r>
    <r>
      <rPr>
        <sz val="10"/>
        <rFont val="Arial"/>
        <family val="0"/>
        <charset val="1"/>
      </rPr>
      <t xml:space="preserve">(COGS)</t>
    </r>
  </si>
  <si>
    <r>
      <rPr>
        <i val="true"/>
        <sz val="8.5"/>
        <color rgb="FF666666"/>
        <rFont val="Arial"/>
        <family val="0"/>
        <charset val="1"/>
      </rPr>
      <t xml:space="preserve">BOM+</t>
    </r>
    <r>
      <rPr>
        <i val="true"/>
        <sz val="8.5"/>
        <color rgb="FF666666"/>
        <rFont val="Noto Sans CJK SC"/>
        <family val="2"/>
      </rPr>
      <t xml:space="preserve">制造</t>
    </r>
  </si>
  <si>
    <r>
      <rPr>
        <sz val="10"/>
        <rFont val="Noto Sans CJK SC"/>
        <family val="2"/>
      </rPr>
      <t xml:space="preserve">目标零售价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含税</t>
    </r>
    <r>
      <rPr>
        <sz val="10"/>
        <rFont val="Arial"/>
        <family val="0"/>
        <charset val="1"/>
      </rPr>
      <t xml:space="preserve">)</t>
    </r>
  </si>
  <si>
    <t xml:space="preserve">对标中端全能基站零售价</t>
  </si>
  <si>
    <r>
      <rPr>
        <sz val="10"/>
        <rFont val="Noto Sans CJK SC"/>
        <family val="2"/>
      </rPr>
      <t xml:space="preserve">产品毛利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零售价</t>
    </r>
    <r>
      <rPr>
        <sz val="10"/>
        <rFont val="Arial"/>
        <family val="0"/>
        <charset val="1"/>
      </rPr>
      <t xml:space="preserve">-COGS)</t>
    </r>
  </si>
  <si>
    <r>
      <rPr>
        <i val="true"/>
        <sz val="8.5"/>
        <color rgb="FF666666"/>
        <rFont val="Noto Sans CJK SC"/>
        <family val="2"/>
      </rPr>
      <t xml:space="preserve">口径</t>
    </r>
    <r>
      <rPr>
        <i val="true"/>
        <sz val="8.5"/>
        <color rgb="FF666666"/>
        <rFont val="Arial"/>
        <family val="0"/>
        <charset val="1"/>
      </rPr>
      <t xml:space="preserve">:</t>
    </r>
    <r>
      <rPr>
        <i val="true"/>
        <sz val="8.5"/>
        <color rgb="FF666666"/>
        <rFont val="Noto Sans CJK SC"/>
        <family val="2"/>
      </rPr>
      <t xml:space="preserve">仅扣</t>
    </r>
    <r>
      <rPr>
        <i val="true"/>
        <sz val="8.5"/>
        <color rgb="FF666666"/>
        <rFont val="Arial"/>
        <family val="0"/>
        <charset val="1"/>
      </rPr>
      <t xml:space="preserve">COGS</t>
    </r>
  </si>
  <si>
    <t xml:space="preserve">产品毛利率</t>
  </si>
  <si>
    <r>
      <rPr>
        <i val="true"/>
        <sz val="8.5"/>
        <color rgb="FF666666"/>
        <rFont val="Noto Sans CJK SC"/>
        <family val="2"/>
      </rPr>
      <t xml:space="preserve">毛利</t>
    </r>
    <r>
      <rPr>
        <i val="true"/>
        <sz val="8.5"/>
        <color rgb="FF666666"/>
        <rFont val="Arial"/>
        <family val="0"/>
        <charset val="1"/>
      </rPr>
      <t xml:space="preserve">/</t>
    </r>
    <r>
      <rPr>
        <i val="true"/>
        <sz val="8.5"/>
        <color rgb="FF666666"/>
        <rFont val="Noto Sans CJK SC"/>
        <family val="2"/>
      </rPr>
      <t xml:space="preserve">零售价</t>
    </r>
  </si>
  <si>
    <r>
      <rPr>
        <sz val="10"/>
        <rFont val="Noto Sans CJK SC"/>
        <family val="2"/>
      </rPr>
      <t xml:space="preserve">渠道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平台费用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占零售</t>
    </r>
    <r>
      <rPr>
        <sz val="10"/>
        <rFont val="Arial"/>
        <family val="0"/>
        <charset val="1"/>
      </rPr>
      <t xml:space="preserve">)</t>
    </r>
  </si>
  <si>
    <r>
      <rPr>
        <i val="true"/>
        <sz val="8.5"/>
        <color rgb="FF666666"/>
        <rFont val="Noto Sans CJK SC"/>
        <family val="2"/>
      </rPr>
      <t xml:space="preserve">电商佣金</t>
    </r>
    <r>
      <rPr>
        <i val="true"/>
        <sz val="8.5"/>
        <color rgb="FF666666"/>
        <rFont val="Arial"/>
        <family val="0"/>
        <charset val="1"/>
      </rPr>
      <t xml:space="preserve">+</t>
    </r>
    <r>
      <rPr>
        <i val="true"/>
        <sz val="8.5"/>
        <color rgb="FF666666"/>
        <rFont val="Noto Sans CJK SC"/>
        <family val="2"/>
      </rPr>
      <t xml:space="preserve">流量</t>
    </r>
    <r>
      <rPr>
        <i val="true"/>
        <sz val="8.5"/>
        <color rgb="FF666666"/>
        <rFont val="Arial"/>
        <family val="0"/>
        <charset val="1"/>
      </rPr>
      <t xml:space="preserve">+</t>
    </r>
    <r>
      <rPr>
        <i val="true"/>
        <sz val="8.5"/>
        <color rgb="FF666666"/>
        <rFont val="Noto Sans CJK SC"/>
        <family val="2"/>
      </rPr>
      <t xml:space="preserve">经销加价估</t>
    </r>
  </si>
  <si>
    <r>
      <rPr>
        <sz val="10"/>
        <rFont val="Noto Sans CJK SC"/>
        <family val="2"/>
      </rPr>
      <t xml:space="preserve">营销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品牌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占零售</t>
    </r>
    <r>
      <rPr>
        <sz val="10"/>
        <rFont val="Arial"/>
        <family val="0"/>
        <charset val="1"/>
      </rPr>
      <t xml:space="preserve">)</t>
    </r>
  </si>
  <si>
    <r>
      <rPr>
        <i val="true"/>
        <sz val="8.5"/>
        <color rgb="FF666666"/>
        <rFont val="Noto Sans CJK SC"/>
        <family val="2"/>
      </rPr>
      <t xml:space="preserve">投流</t>
    </r>
    <r>
      <rPr>
        <i val="true"/>
        <sz val="8.5"/>
        <color rgb="FF666666"/>
        <rFont val="Arial"/>
        <family val="0"/>
        <charset val="1"/>
      </rPr>
      <t xml:space="preserve">+</t>
    </r>
    <r>
      <rPr>
        <i val="true"/>
        <sz val="8.5"/>
        <color rgb="FF666666"/>
        <rFont val="Noto Sans CJK SC"/>
        <family val="2"/>
      </rPr>
      <t xml:space="preserve">品牌摊销估</t>
    </r>
  </si>
  <si>
    <r>
      <rPr>
        <sz val="10"/>
        <rFont val="Noto Sans CJK SC"/>
        <family val="2"/>
      </rPr>
      <t xml:space="preserve">物流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仓储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售后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占零售</t>
    </r>
    <r>
      <rPr>
        <sz val="10"/>
        <rFont val="Arial"/>
        <family val="0"/>
        <charset val="1"/>
      </rPr>
      <t xml:space="preserve">)</t>
    </r>
  </si>
  <si>
    <r>
      <rPr>
        <i val="true"/>
        <sz val="8.5"/>
        <color rgb="FF666666"/>
        <rFont val="Noto Sans CJK SC"/>
        <family val="2"/>
      </rPr>
      <t xml:space="preserve">含退换</t>
    </r>
    <r>
      <rPr>
        <i val="true"/>
        <sz val="8.5"/>
        <color rgb="FF666666"/>
        <rFont val="Arial"/>
        <family val="0"/>
        <charset val="1"/>
      </rPr>
      <t xml:space="preserve">+</t>
    </r>
    <r>
      <rPr>
        <i val="true"/>
        <sz val="8.5"/>
        <color rgb="FF666666"/>
        <rFont val="Noto Sans CJK SC"/>
        <family val="2"/>
      </rPr>
      <t xml:space="preserve">售后</t>
    </r>
    <r>
      <rPr>
        <i val="true"/>
        <sz val="8.5"/>
        <color rgb="FF666666"/>
        <rFont val="Arial"/>
        <family val="0"/>
        <charset val="1"/>
      </rPr>
      <t xml:space="preserve">,</t>
    </r>
    <r>
      <rPr>
        <i val="true"/>
        <sz val="8.5"/>
        <color rgb="FF666666"/>
        <rFont val="Noto Sans CJK SC"/>
        <family val="2"/>
      </rPr>
      <t xml:space="preserve">估</t>
    </r>
  </si>
  <si>
    <r>
      <rPr>
        <sz val="10"/>
        <rFont val="Noto Sans CJK SC"/>
        <family val="2"/>
      </rPr>
      <t xml:space="preserve">经营利润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扣全部费用</t>
    </r>
    <r>
      <rPr>
        <sz val="10"/>
        <rFont val="Arial"/>
        <family val="0"/>
        <charset val="1"/>
      </rPr>
      <t xml:space="preserve">)</t>
    </r>
  </si>
  <si>
    <r>
      <rPr>
        <i val="true"/>
        <sz val="8.5"/>
        <color rgb="FF666666"/>
        <rFont val="Noto Sans CJK SC"/>
        <family val="2"/>
      </rPr>
      <t xml:space="preserve">毛利</t>
    </r>
    <r>
      <rPr>
        <i val="true"/>
        <sz val="8.5"/>
        <color rgb="FF666666"/>
        <rFont val="Arial"/>
        <family val="0"/>
        <charset val="1"/>
      </rPr>
      <t xml:space="preserve">-</t>
    </r>
    <r>
      <rPr>
        <i val="true"/>
        <sz val="8.5"/>
        <color rgb="FF666666"/>
        <rFont val="Noto Sans CJK SC"/>
        <family val="2"/>
      </rPr>
      <t xml:space="preserve">渠道</t>
    </r>
    <r>
      <rPr>
        <i val="true"/>
        <sz val="8.5"/>
        <color rgb="FF666666"/>
        <rFont val="Arial"/>
        <family val="0"/>
        <charset val="1"/>
      </rPr>
      <t xml:space="preserve">-</t>
    </r>
    <r>
      <rPr>
        <i val="true"/>
        <sz val="8.5"/>
        <color rgb="FF666666"/>
        <rFont val="Noto Sans CJK SC"/>
        <family val="2"/>
      </rPr>
      <t xml:space="preserve">营销</t>
    </r>
    <r>
      <rPr>
        <i val="true"/>
        <sz val="8.5"/>
        <color rgb="FF666666"/>
        <rFont val="Arial"/>
        <family val="0"/>
        <charset val="1"/>
      </rPr>
      <t xml:space="preserve">-</t>
    </r>
    <r>
      <rPr>
        <i val="true"/>
        <sz val="8.5"/>
        <color rgb="FF666666"/>
        <rFont val="Noto Sans CJK SC"/>
        <family val="2"/>
      </rPr>
      <t xml:space="preserve">物流售后</t>
    </r>
  </si>
  <si>
    <t xml:space="preserve">经营利润率</t>
  </si>
  <si>
    <r>
      <rPr>
        <i val="true"/>
        <sz val="8.5"/>
        <color rgb="FF666666"/>
        <rFont val="Noto Sans CJK SC"/>
        <family val="2"/>
      </rPr>
      <t xml:space="preserve">经营利润</t>
    </r>
    <r>
      <rPr>
        <i val="true"/>
        <sz val="8.5"/>
        <color rgb="FF666666"/>
        <rFont val="Arial"/>
        <family val="0"/>
        <charset val="1"/>
      </rPr>
      <t xml:space="preserve">/</t>
    </r>
    <r>
      <rPr>
        <i val="true"/>
        <sz val="8.5"/>
        <color rgb="FF666666"/>
        <rFont val="Noto Sans CJK SC"/>
        <family val="2"/>
      </rPr>
      <t xml:space="preserve">零售价</t>
    </r>
  </si>
  <si>
    <r>
      <rPr>
        <i val="true"/>
        <sz val="8.5"/>
        <color rgb="FF666666"/>
        <rFont val="Noto Sans CJK SC"/>
        <family val="2"/>
      </rPr>
      <t xml:space="preserve">注</t>
    </r>
    <r>
      <rPr>
        <i val="true"/>
        <sz val="8.5"/>
        <color rgb="FF666666"/>
        <rFont val="Arial"/>
        <family val="0"/>
        <charset val="1"/>
      </rPr>
      <t xml:space="preserve">:</t>
    </r>
    <r>
      <rPr>
        <i val="true"/>
        <sz val="8.5"/>
        <color rgb="FF666666"/>
        <rFont val="Noto Sans CJK SC"/>
        <family val="2"/>
      </rPr>
      <t xml:space="preserve">零售价口径为含税终端零售价</t>
    </r>
    <r>
      <rPr>
        <i val="true"/>
        <sz val="8.5"/>
        <color rgb="FF666666"/>
        <rFont val="Arial"/>
        <family val="0"/>
        <charset val="1"/>
      </rPr>
      <t xml:space="preserve">(</t>
    </r>
    <r>
      <rPr>
        <i val="true"/>
        <sz val="8.5"/>
        <color rgb="FF666666"/>
        <rFont val="Noto Sans CJK SC"/>
        <family val="2"/>
      </rPr>
      <t xml:space="preserve">品牌</t>
    </r>
    <r>
      <rPr>
        <i val="true"/>
        <sz val="8.5"/>
        <color rgb="FF666666"/>
        <rFont val="Arial"/>
        <family val="0"/>
        <charset val="1"/>
      </rPr>
      <t xml:space="preserve">DTC</t>
    </r>
    <r>
      <rPr>
        <i val="true"/>
        <sz val="8.5"/>
        <color rgb="FF666666"/>
        <rFont val="Noto Sans CJK SC"/>
        <family val="2"/>
      </rPr>
      <t xml:space="preserve">可收全额</t>
    </r>
    <r>
      <rPr>
        <i val="true"/>
        <sz val="8.5"/>
        <color rgb="FF666666"/>
        <rFont val="Arial"/>
        <family val="0"/>
        <charset val="1"/>
      </rPr>
      <t xml:space="preserve">;</t>
    </r>
    <r>
      <rPr>
        <i val="true"/>
        <sz val="8.5"/>
        <color rgb="FF666666"/>
        <rFont val="Noto Sans CJK SC"/>
        <family val="2"/>
      </rPr>
      <t xml:space="preserve">经销批发模式品牌实收更低</t>
    </r>
    <r>
      <rPr>
        <i val="true"/>
        <sz val="8.5"/>
        <color rgb="FF666666"/>
        <rFont val="Arial"/>
        <family val="0"/>
        <charset val="1"/>
      </rPr>
      <t xml:space="preserve">)</t>
    </r>
    <r>
      <rPr>
        <i val="true"/>
        <sz val="8.5"/>
        <color rgb="FF666666"/>
        <rFont val="Noto Sans CJK SC"/>
        <family val="2"/>
      </rPr>
      <t xml:space="preserve">。毛利率与经营利润率为不同口径</t>
    </r>
    <r>
      <rPr>
        <i val="true"/>
        <sz val="8.5"/>
        <color rgb="FF666666"/>
        <rFont val="Arial"/>
        <family val="0"/>
        <charset val="1"/>
      </rPr>
      <t xml:space="preserve">,</t>
    </r>
    <r>
      <rPr>
        <i val="true"/>
        <sz val="8.5"/>
        <color rgb="FF666666"/>
        <rFont val="Noto Sans CJK SC"/>
        <family val="2"/>
      </rPr>
      <t xml:space="preserve">不可混用。比例为蓝色可调假设。</t>
    </r>
  </si>
  <si>
    <r>
      <rPr>
        <b val="true"/>
        <sz val="13"/>
        <color rgb="FF1B2631"/>
        <rFont val="Noto Sans CJK SC"/>
        <family val="2"/>
      </rPr>
      <t xml:space="preserve">附录</t>
    </r>
    <r>
      <rPr>
        <b val="true"/>
        <sz val="13"/>
        <color rgb="FF1B2631"/>
        <rFont val="Arial"/>
        <family val="0"/>
        <charset val="1"/>
      </rPr>
      <t xml:space="preserve">A </t>
    </r>
    <r>
      <rPr>
        <b val="true"/>
        <sz val="13"/>
        <color rgb="FF1B2631"/>
        <rFont val="Noto Sans CJK SC"/>
        <family val="2"/>
      </rPr>
      <t xml:space="preserve">数据勾稽自检表（核心口径交叉校验）</t>
    </r>
  </si>
  <si>
    <t xml:space="preserve">校验项</t>
  </si>
  <si>
    <r>
      <rPr>
        <b val="true"/>
        <sz val="10"/>
        <color rgb="FFFFFFFF"/>
        <rFont val="Noto Sans CJK SC"/>
        <family val="2"/>
      </rPr>
      <t xml:space="preserve">口径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品类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地域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年份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</si>
  <si>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值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</si>
  <si>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值</t>
    </r>
  </si>
  <si>
    <r>
      <rPr>
        <b val="true"/>
        <sz val="10"/>
        <color rgb="FFFFFFFF"/>
        <rFont val="Arial"/>
        <family val="0"/>
        <charset val="1"/>
      </rPr>
      <t xml:space="preserve">A×B</t>
    </r>
    <r>
      <rPr>
        <b val="true"/>
        <sz val="10"/>
        <color rgb="FFFFFFFF"/>
        <rFont val="Noto Sans CJK SC"/>
        <family val="2"/>
      </rPr>
      <t xml:space="preserve">或</t>
    </r>
    <r>
      <rPr>
        <b val="true"/>
        <sz val="10"/>
        <color rgb="FFFFFFFF"/>
        <rFont val="Arial"/>
        <family val="0"/>
        <charset val="1"/>
      </rPr>
      <t xml:space="preserve">A÷B</t>
    </r>
    <r>
      <rPr>
        <b val="true"/>
        <sz val="10"/>
        <color rgb="FFFFFFFF"/>
        <rFont val="Noto Sans CJK SC"/>
        <family val="2"/>
      </rPr>
      <t xml:space="preserve">推算</t>
    </r>
  </si>
  <si>
    <t xml:space="preserve">报告中对应数</t>
  </si>
  <si>
    <t xml:space="preserve">结论</t>
  </si>
  <si>
    <r>
      <rPr>
        <sz val="10"/>
        <rFont val="Noto Sans CJK SC"/>
        <family val="2"/>
      </rPr>
      <t xml:space="preserve">出货量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单价≟销售额</t>
    </r>
  </si>
  <si>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RVC/2024</t>
    </r>
  </si>
  <si>
    <r>
      <rPr>
        <sz val="10"/>
        <rFont val="Noto Sans CJK SC"/>
        <family val="2"/>
      </rPr>
      <t xml:space="preserve">出货</t>
    </r>
    <r>
      <rPr>
        <sz val="10"/>
        <rFont val="Arial"/>
        <family val="0"/>
        <charset val="1"/>
      </rPr>
      <t xml:space="preserve">2060.3</t>
    </r>
    <r>
      <rPr>
        <sz val="10"/>
        <rFont val="Noto Sans CJK SC"/>
        <family val="2"/>
      </rPr>
      <t xml:space="preserve">万台</t>
    </r>
  </si>
  <si>
    <r>
      <rPr>
        <sz val="10"/>
        <rFont val="Noto Sans CJK SC"/>
        <family val="2"/>
      </rPr>
      <t xml:space="preserve">均价</t>
    </r>
    <r>
      <rPr>
        <sz val="10"/>
        <rFont val="Arial"/>
        <family val="0"/>
        <charset val="1"/>
      </rPr>
      <t xml:space="preserve">$452</t>
    </r>
  </si>
  <si>
    <r>
      <rPr>
        <sz val="10"/>
        <rFont val="Arial"/>
        <family val="0"/>
        <charset val="1"/>
      </rPr>
      <t xml:space="preserve">≈$93.1</t>
    </r>
    <r>
      <rPr>
        <sz val="10"/>
        <rFont val="Noto Sans CJK SC"/>
        <family val="2"/>
      </rPr>
      <t xml:space="preserve">亿</t>
    </r>
  </si>
  <si>
    <r>
      <rPr>
        <sz val="10"/>
        <rFont val="Noto Sans CJK SC"/>
        <family val="2"/>
      </rPr>
      <t xml:space="preserve">销额</t>
    </r>
    <r>
      <rPr>
        <sz val="10"/>
        <rFont val="Arial"/>
        <family val="0"/>
        <charset val="1"/>
      </rPr>
      <t xml:space="preserve">$93.1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[12]</t>
    </r>
  </si>
  <si>
    <r>
      <rPr>
        <sz val="10"/>
        <rFont val="Noto Sans CJK SC"/>
        <family val="2"/>
      </rPr>
      <t xml:space="preserve">对得上</t>
    </r>
    <r>
      <rPr>
        <sz val="10"/>
        <rFont val="Arial"/>
        <family val="0"/>
        <charset val="1"/>
      </rPr>
      <t xml:space="preserve">(IDC</t>
    </r>
    <r>
      <rPr>
        <sz val="10"/>
        <rFont val="Noto Sans CJK SC"/>
        <family val="2"/>
      </rPr>
      <t xml:space="preserve">自洽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精确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</si>
  <si>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零售量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均价≟零售额</t>
    </r>
  </si>
  <si>
    <r>
      <rPr>
        <sz val="10"/>
        <rFont val="Noto Sans CJK SC"/>
        <family val="2"/>
      </rPr>
      <t xml:space="preserve">中国扫地机</t>
    </r>
    <r>
      <rPr>
        <sz val="10"/>
        <rFont val="Arial"/>
        <family val="0"/>
        <charset val="1"/>
      </rPr>
      <t xml:space="preserve">/2024</t>
    </r>
  </si>
  <si>
    <r>
      <rPr>
        <sz val="10"/>
        <rFont val="Noto Sans CJK SC"/>
        <family val="2"/>
      </rPr>
      <t xml:space="preserve">零售</t>
    </r>
    <r>
      <rPr>
        <sz val="10"/>
        <rFont val="Arial"/>
        <family val="0"/>
        <charset val="1"/>
      </rPr>
      <t xml:space="preserve">603.6</t>
    </r>
    <r>
      <rPr>
        <sz val="10"/>
        <rFont val="Noto Sans CJK SC"/>
        <family val="2"/>
      </rPr>
      <t xml:space="preserve">万台</t>
    </r>
  </si>
  <si>
    <r>
      <rPr>
        <sz val="10"/>
        <rFont val="Noto Sans CJK SC"/>
        <family val="2"/>
      </rPr>
      <t xml:space="preserve">均价</t>
    </r>
    <r>
      <rPr>
        <sz val="10"/>
        <rFont val="Arial"/>
        <family val="0"/>
        <charset val="1"/>
      </rPr>
      <t xml:space="preserve">¥3024</t>
    </r>
  </si>
  <si>
    <r>
      <rPr>
        <sz val="10"/>
        <rFont val="Arial"/>
        <family val="0"/>
        <charset val="1"/>
      </rPr>
      <t xml:space="preserve">≈¥182.5</t>
    </r>
    <r>
      <rPr>
        <sz val="10"/>
        <rFont val="Noto Sans CJK SC"/>
        <family val="2"/>
      </rPr>
      <t xml:space="preserve">亿</t>
    </r>
  </si>
  <si>
    <r>
      <rPr>
        <sz val="10"/>
        <rFont val="Noto Sans CJK SC"/>
        <family val="2"/>
      </rPr>
      <t xml:space="preserve">零售额</t>
    </r>
    <r>
      <rPr>
        <sz val="10"/>
        <rFont val="Arial"/>
        <family val="0"/>
        <charset val="1"/>
      </rPr>
      <t xml:space="preserve">¥193.6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[11]</t>
    </r>
  </si>
  <si>
    <r>
      <rPr>
        <sz val="10"/>
        <rFont val="Noto Sans CJK SC"/>
        <family val="2"/>
      </rPr>
      <t xml:space="preserve">基本对得上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差约</t>
    </r>
    <r>
      <rPr>
        <sz val="10"/>
        <rFont val="Arial"/>
        <family val="0"/>
        <charset val="1"/>
      </rPr>
      <t xml:space="preserve">6%,</t>
    </r>
    <r>
      <rPr>
        <sz val="10"/>
        <rFont val="Noto Sans CJK SC"/>
        <family val="2"/>
      </rPr>
      <t xml:space="preserve">均价线上线下口径差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</si>
  <si>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份额合计≟</t>
    </r>
    <r>
      <rPr>
        <sz val="10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</si>
  <si>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中国</t>
    </r>
    <r>
      <rPr>
        <sz val="10"/>
        <rFont val="Arial"/>
        <family val="0"/>
        <charset val="1"/>
      </rPr>
      <t xml:space="preserve">/2024H1/</t>
    </r>
    <r>
      <rPr>
        <sz val="10"/>
        <rFont val="Noto Sans CJK SC"/>
        <family val="2"/>
      </rPr>
      <t xml:space="preserve">零售额</t>
    </r>
  </si>
  <si>
    <t xml:space="preserve">CR4=30.5+20.4+18.8+14.4=84.1%</t>
  </si>
  <si>
    <r>
      <rPr>
        <sz val="10"/>
        <rFont val="Noto Sans CJK SC"/>
        <family val="2"/>
      </rPr>
      <t xml:space="preserve">其他</t>
    </r>
    <r>
      <rPr>
        <sz val="10"/>
        <rFont val="Arial"/>
        <family val="0"/>
        <charset val="1"/>
      </rPr>
      <t xml:space="preserve">15.9%</t>
    </r>
  </si>
  <si>
    <t xml:space="preserve">闭合</t>
  </si>
  <si>
    <r>
      <rPr>
        <sz val="10"/>
        <rFont val="Noto Sans CJK SC"/>
        <family val="2"/>
      </rPr>
      <t xml:space="preserve">份额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大盘≟玩家销额</t>
    </r>
  </si>
  <si>
    <r>
      <rPr>
        <sz val="10"/>
        <rFont val="Noto Sans CJK SC"/>
        <family val="2"/>
      </rPr>
      <t xml:space="preserve">石头销额份额</t>
    </r>
    <r>
      <rPr>
        <sz val="10"/>
        <rFont val="Arial"/>
        <family val="0"/>
        <charset val="1"/>
      </rPr>
      <t xml:space="preserve">22.3%</t>
    </r>
  </si>
  <si>
    <r>
      <rPr>
        <sz val="10"/>
        <rFont val="Noto Sans CJK SC"/>
        <family val="2"/>
      </rPr>
      <t xml:space="preserve">大盘</t>
    </r>
    <r>
      <rPr>
        <sz val="10"/>
        <rFont val="Arial"/>
        <family val="0"/>
        <charset val="1"/>
      </rPr>
      <t xml:space="preserve">$93.1</t>
    </r>
    <r>
      <rPr>
        <sz val="10"/>
        <rFont val="Noto Sans CJK SC"/>
        <family val="2"/>
      </rPr>
      <t xml:space="preserve">亿</t>
    </r>
  </si>
  <si>
    <r>
      <rPr>
        <sz val="10"/>
        <rFont val="Arial"/>
        <family val="0"/>
        <charset val="1"/>
      </rPr>
      <t xml:space="preserve">≈$20.8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(RVC</t>
    </r>
    <r>
      <rPr>
        <sz val="10"/>
        <rFont val="Noto Sans CJK SC"/>
        <family val="2"/>
      </rPr>
      <t xml:space="preserve">口径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</si>
  <si>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石头总营收</t>
    </r>
    <r>
      <rPr>
        <sz val="10"/>
        <rFont val="Arial"/>
        <family val="0"/>
        <charset val="1"/>
      </rPr>
      <t xml:space="preserve">119.3</t>
    </r>
    <r>
      <rPr>
        <sz val="10"/>
        <rFont val="Noto Sans CJK SC"/>
        <family val="2"/>
      </rPr>
      <t xml:space="preserve">亿元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全品类</t>
    </r>
    <r>
      <rPr>
        <sz val="10"/>
        <rFont val="Arial"/>
        <family val="0"/>
        <charset val="1"/>
      </rPr>
      <t xml:space="preserve">,≈$16.5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</si>
  <si>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口径不同</t>
    </r>
    <r>
      <rPr>
        <sz val="10"/>
        <rFont val="Arial"/>
        <family val="0"/>
        <charset val="1"/>
      </rPr>
      <t xml:space="preserve">(IDC</t>
    </r>
    <r>
      <rPr>
        <sz val="10"/>
        <rFont val="Noto Sans CJK SC"/>
        <family val="2"/>
      </rPr>
      <t xml:space="preserve">仅</t>
    </r>
    <r>
      <rPr>
        <sz val="10"/>
        <rFont val="Arial"/>
        <family val="0"/>
        <charset val="1"/>
      </rPr>
      <t xml:space="preserve">RVC</t>
    </r>
    <r>
      <rPr>
        <sz val="10"/>
        <rFont val="Noto Sans CJK SC"/>
        <family val="2"/>
      </rPr>
      <t xml:space="preserve">出厂值</t>
    </r>
    <r>
      <rPr>
        <sz val="10"/>
        <rFont val="Arial"/>
        <family val="0"/>
        <charset val="1"/>
      </rPr>
      <t xml:space="preserve">vs</t>
    </r>
    <r>
      <rPr>
        <sz val="10"/>
        <rFont val="Noto Sans CJK SC"/>
        <family val="2"/>
      </rPr>
      <t xml:space="preserve">公司全品类营收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不可直接比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仅量级参考</t>
    </r>
  </si>
  <si>
    <t xml:space="preserve">自下而上≟自上而下</t>
  </si>
  <si>
    <r>
      <rPr>
        <sz val="10"/>
        <rFont val="Noto Sans CJK SC"/>
        <family val="2"/>
      </rPr>
      <t xml:space="preserve">中国</t>
    </r>
    <r>
      <rPr>
        <sz val="10"/>
        <rFont val="Arial"/>
        <family val="0"/>
        <charset val="1"/>
      </rPr>
      <t xml:space="preserve">/2026</t>
    </r>
  </si>
  <si>
    <r>
      <rPr>
        <sz val="10"/>
        <rFont val="Noto Sans CJK SC"/>
        <family val="2"/>
      </rPr>
      <t xml:space="preserve">见第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节</t>
    </r>
    <r>
      <rPr>
        <sz val="10"/>
        <rFont val="Arial"/>
        <family val="0"/>
        <charset val="1"/>
      </rPr>
      <t xml:space="preserve">SOM</t>
    </r>
    <r>
      <rPr>
        <sz val="10"/>
        <rFont val="Noto Sans CJK SC"/>
        <family val="2"/>
      </rPr>
      <t xml:space="preserve">测算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</si>
  <si>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待第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节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</si>
  <si>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节大盘约</t>
    </r>
    <r>
      <rPr>
        <sz val="10"/>
        <rFont val="Arial"/>
        <family val="0"/>
        <charset val="1"/>
      </rPr>
      <t xml:space="preserve">¥220</t>
    </r>
    <r>
      <rPr>
        <sz val="10"/>
        <rFont val="Noto Sans CJK SC"/>
        <family val="2"/>
      </rPr>
      <t xml:space="preserve">亿</t>
    </r>
  </si>
  <si>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节产品方案中校验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</si>
</sst>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&quot;2799&quot;"/>
    <numFmt numFmtId="168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2631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i val="true"/>
      <sz val="8.5"/>
      <color rgb="FF666666"/>
      <name val="Noto Sans CJK SC"/>
      <family val="2"/>
    </font>
    <font>
      <i val="true"/>
      <sz val="8.5"/>
      <color rgb="FF666666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3"/>
      <color rgb="FF1B2631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1B2631"/>
      </patternFill>
    </fill>
    <fill>
      <patternFill patternType="solid">
        <fgColor rgb="FFFFF8E6"/>
        <bgColor rgb="FFF4F6F7"/>
      </patternFill>
    </fill>
    <fill>
      <patternFill patternType="solid">
        <fgColor rgb="FFF5B7B1"/>
        <bgColor rgb="FFFF99CC"/>
      </patternFill>
    </fill>
    <fill>
      <patternFill patternType="solid">
        <fgColor rgb="FFEAEDED"/>
        <bgColor rgb="FFF4F6F7"/>
      </patternFill>
    </fill>
    <fill>
      <patternFill patternType="solid">
        <fgColor rgb="FFF4F6F7"/>
        <bgColor rgb="FFFFF8E6"/>
      </patternFill>
    </fill>
    <fill>
      <patternFill patternType="solid">
        <fgColor rgb="FFABEBC6"/>
        <bgColor rgb="FF99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8E6"/>
      <rgbColor rgb="FFEA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ABEBC6"/>
      <rgbColor rgb="FFFFFF99"/>
      <rgbColor rgb="FF99CCFF"/>
      <rgbColor rgb="FFFF99CC"/>
      <rgbColor rgb="FFCC99FF"/>
      <rgbColor rgb="FFF5B7B1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2631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9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</row>
    <row r="4" customFormat="false" ht="29.85" hidden="false" customHeight="false" outlineLevel="0" collapsed="false">
      <c r="A4" s="4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7" t="s">
        <v>14</v>
      </c>
      <c r="G4" s="5" t="s">
        <v>15</v>
      </c>
      <c r="H4" s="8" t="s">
        <v>16</v>
      </c>
    </row>
    <row r="5" customFormat="false" ht="29.85" hidden="false" customHeight="false" outlineLevel="0" collapsed="false">
      <c r="A5" s="4" t="s">
        <v>17</v>
      </c>
      <c r="B5" s="5" t="s">
        <v>10</v>
      </c>
      <c r="C5" s="5" t="s">
        <v>18</v>
      </c>
      <c r="D5" s="5" t="s">
        <v>19</v>
      </c>
      <c r="E5" s="6" t="s">
        <v>20</v>
      </c>
      <c r="F5" s="7" t="s">
        <v>21</v>
      </c>
      <c r="G5" s="5" t="s">
        <v>22</v>
      </c>
      <c r="H5" s="8" t="s">
        <v>16</v>
      </c>
    </row>
    <row r="6" customFormat="false" ht="15" hidden="false" customHeight="false" outlineLevel="0" collapsed="false">
      <c r="A6" s="4" t="s">
        <v>23</v>
      </c>
      <c r="B6" s="5" t="s">
        <v>10</v>
      </c>
      <c r="C6" s="8" t="s">
        <v>24</v>
      </c>
      <c r="D6" s="5" t="s">
        <v>25</v>
      </c>
      <c r="E6" s="5" t="s">
        <v>10</v>
      </c>
      <c r="F6" s="7" t="s">
        <v>26</v>
      </c>
      <c r="G6" s="5" t="s">
        <v>27</v>
      </c>
      <c r="H6" s="8" t="s">
        <v>16</v>
      </c>
    </row>
    <row r="7" customFormat="false" ht="29.85" hidden="false" customHeight="false" outlineLevel="0" collapsed="false">
      <c r="A7" s="4" t="s">
        <v>28</v>
      </c>
      <c r="B7" s="5" t="s">
        <v>29</v>
      </c>
      <c r="C7" s="5" t="s">
        <v>30</v>
      </c>
      <c r="D7" s="5" t="s">
        <v>31</v>
      </c>
      <c r="E7" s="6" t="s">
        <v>32</v>
      </c>
      <c r="F7" s="7" t="s">
        <v>33</v>
      </c>
      <c r="G7" s="5" t="s">
        <v>34</v>
      </c>
      <c r="H7" s="8" t="s">
        <v>16</v>
      </c>
    </row>
    <row r="8" customFormat="false" ht="29.85" hidden="false" customHeight="false" outlineLevel="0" collapsed="false">
      <c r="A8" s="4" t="s">
        <v>35</v>
      </c>
      <c r="B8" s="5" t="s">
        <v>10</v>
      </c>
      <c r="C8" s="5" t="s">
        <v>36</v>
      </c>
      <c r="D8" s="5" t="s">
        <v>37</v>
      </c>
      <c r="E8" s="6" t="s">
        <v>38</v>
      </c>
      <c r="F8" s="7" t="s">
        <v>39</v>
      </c>
      <c r="G8" s="5" t="s">
        <v>40</v>
      </c>
      <c r="H8" s="8" t="s">
        <v>16</v>
      </c>
    </row>
    <row r="9" customFormat="false" ht="29.85" hidden="false" customHeight="false" outlineLevel="0" collapsed="false">
      <c r="A9" s="4" t="s">
        <v>41</v>
      </c>
      <c r="B9" s="5" t="s">
        <v>10</v>
      </c>
      <c r="C9" s="5" t="s">
        <v>10</v>
      </c>
      <c r="D9" s="5" t="s">
        <v>42</v>
      </c>
      <c r="E9" s="6" t="s">
        <v>43</v>
      </c>
      <c r="F9" s="7" t="s">
        <v>44</v>
      </c>
      <c r="G9" s="5" t="s">
        <v>45</v>
      </c>
      <c r="H9" s="8" t="s">
        <v>46</v>
      </c>
    </row>
    <row r="10" customFormat="false" ht="29.85" hidden="false" customHeight="false" outlineLevel="0" collapsed="false">
      <c r="A10" s="4" t="s">
        <v>47</v>
      </c>
      <c r="B10" s="5" t="s">
        <v>10</v>
      </c>
      <c r="C10" s="8" t="s">
        <v>48</v>
      </c>
      <c r="D10" s="5" t="s">
        <v>49</v>
      </c>
      <c r="E10" s="5" t="s">
        <v>50</v>
      </c>
      <c r="F10" s="7" t="s">
        <v>51</v>
      </c>
      <c r="G10" s="5" t="s">
        <v>52</v>
      </c>
      <c r="H10" s="8" t="s">
        <v>46</v>
      </c>
    </row>
    <row r="12" customFormat="false" ht="15" hidden="false" customHeight="false" outlineLevel="0" collapsed="false">
      <c r="A12" s="9" t="s">
        <v>53</v>
      </c>
    </row>
    <row r="13" customFormat="false" ht="15" hidden="false" customHeight="false" outlineLevel="0" collapsed="false">
      <c r="A13" s="9" t="s">
        <v>54</v>
      </c>
    </row>
    <row r="15" customFormat="false" ht="15" hidden="false" customHeight="false" outlineLevel="0" collapsed="false">
      <c r="A15" s="10" t="s">
        <v>55</v>
      </c>
    </row>
    <row r="16" customFormat="false" ht="15" hidden="false" customHeight="false" outlineLevel="0" collapsed="false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8</v>
      </c>
    </row>
    <row r="17" customFormat="false" ht="29.85" hidden="false" customHeight="false" outlineLevel="0" collapsed="false">
      <c r="A17" s="8" t="s">
        <v>60</v>
      </c>
      <c r="B17" s="6" t="s">
        <v>61</v>
      </c>
      <c r="C17" s="6" t="s">
        <v>62</v>
      </c>
      <c r="D17" s="4" t="s">
        <v>63</v>
      </c>
      <c r="E17" s="8" t="s">
        <v>46</v>
      </c>
    </row>
    <row r="18" customFormat="false" ht="29.85" hidden="false" customHeight="false" outlineLevel="0" collapsed="false">
      <c r="A18" s="8" t="s">
        <v>64</v>
      </c>
      <c r="B18" s="6" t="s">
        <v>65</v>
      </c>
      <c r="C18" s="6" t="s">
        <v>66</v>
      </c>
      <c r="D18" s="4" t="s">
        <v>67</v>
      </c>
      <c r="E18" s="8" t="s">
        <v>46</v>
      </c>
    </row>
    <row r="19" customFormat="false" ht="15" hidden="false" customHeight="false" outlineLevel="0" collapsed="false">
      <c r="A19" s="8" t="s">
        <v>68</v>
      </c>
      <c r="B19" s="6" t="s">
        <v>69</v>
      </c>
      <c r="C19" s="6" t="s">
        <v>70</v>
      </c>
      <c r="D19" s="7" t="s">
        <v>71</v>
      </c>
      <c r="E19" s="8" t="s">
        <v>46</v>
      </c>
    </row>
    <row r="20" customFormat="false" ht="15" hidden="false" customHeight="false" outlineLevel="0" collapsed="false">
      <c r="A20" s="8" t="s">
        <v>72</v>
      </c>
      <c r="B20" s="6" t="s">
        <v>73</v>
      </c>
      <c r="C20" s="6" t="s">
        <v>46</v>
      </c>
      <c r="D20" s="7" t="s">
        <v>74</v>
      </c>
      <c r="E20" s="8" t="s">
        <v>75</v>
      </c>
    </row>
    <row r="21" customFormat="false" ht="15" hidden="false" customHeight="false" outlineLevel="0" collapsed="false">
      <c r="A21" s="8" t="s">
        <v>76</v>
      </c>
      <c r="B21" s="6" t="s">
        <v>77</v>
      </c>
      <c r="C21" s="6" t="s">
        <v>78</v>
      </c>
      <c r="D21" s="4" t="s">
        <v>79</v>
      </c>
      <c r="E21" s="8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0.1" hidden="false" customHeight="false" outlineLevel="0" collapsed="false">
      <c r="A1" s="1" t="s">
        <v>80</v>
      </c>
    </row>
    <row r="3" customFormat="false" ht="15" hidden="false" customHeight="false" outlineLevel="0" collapsed="false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</row>
    <row r="4" customFormat="false" ht="15" hidden="false" customHeight="false" outlineLevel="0" collapsed="false">
      <c r="A4" s="4" t="s">
        <v>87</v>
      </c>
      <c r="B4" s="11" t="n">
        <v>5</v>
      </c>
      <c r="C4" s="8" t="n">
        <v>3</v>
      </c>
      <c r="D4" s="12" t="n">
        <v>0</v>
      </c>
      <c r="E4" s="12" t="n">
        <v>0</v>
      </c>
      <c r="F4" s="4" t="s">
        <v>88</v>
      </c>
    </row>
    <row r="5" customFormat="false" ht="15" hidden="false" customHeight="false" outlineLevel="0" collapsed="false">
      <c r="A5" s="4" t="s">
        <v>89</v>
      </c>
      <c r="B5" s="8" t="n">
        <v>2</v>
      </c>
      <c r="C5" s="11" t="n">
        <v>5</v>
      </c>
      <c r="D5" s="8" t="n">
        <v>3</v>
      </c>
      <c r="E5" s="12" t="n">
        <v>0</v>
      </c>
      <c r="F5" s="4" t="s">
        <v>90</v>
      </c>
    </row>
    <row r="6" customFormat="false" ht="15" hidden="false" customHeight="false" outlineLevel="0" collapsed="false">
      <c r="A6" s="4" t="s">
        <v>91</v>
      </c>
      <c r="B6" s="12" t="n">
        <v>0</v>
      </c>
      <c r="C6" s="8" t="n">
        <v>4</v>
      </c>
      <c r="D6" s="11" t="n">
        <v>5</v>
      </c>
      <c r="E6" s="8" t="n">
        <v>4</v>
      </c>
      <c r="F6" s="4" t="s">
        <v>92</v>
      </c>
    </row>
    <row r="7" customFormat="false" ht="15" hidden="false" customHeight="false" outlineLevel="0" collapsed="false">
      <c r="A7" s="4" t="s">
        <v>93</v>
      </c>
      <c r="B7" s="12" t="n">
        <v>0</v>
      </c>
      <c r="C7" s="12" t="n">
        <v>0</v>
      </c>
      <c r="D7" s="8" t="n">
        <v>2</v>
      </c>
      <c r="E7" s="11" t="n">
        <v>5</v>
      </c>
      <c r="F7" s="4" t="s">
        <v>94</v>
      </c>
    </row>
    <row r="9" customFormat="false" ht="15" hidden="false" customHeight="false" outlineLevel="0" collapsed="false">
      <c r="A9" s="9" t="s">
        <v>95</v>
      </c>
    </row>
    <row r="10" customFormat="false" ht="15" hidden="false" customHeight="false" outlineLevel="0" collapsed="false">
      <c r="A10" s="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30"/>
    <col collapsed="false" customWidth="true" hidden="false" outlineLevel="0" max="10" min="10" style="0" width="12"/>
  </cols>
  <sheetData>
    <row r="1" customFormat="false" ht="20.1" hidden="false" customHeight="false" outlineLevel="0" collapsed="false">
      <c r="A1" s="1" t="s">
        <v>97</v>
      </c>
    </row>
    <row r="3" customFormat="false" ht="15" hidden="false" customHeight="false" outlineLevel="0" collapsed="false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7</v>
      </c>
    </row>
    <row r="4" customFormat="false" ht="15" hidden="false" customHeight="false" outlineLevel="0" collapsed="false">
      <c r="A4" s="7" t="s">
        <v>107</v>
      </c>
      <c r="B4" s="8" t="s">
        <v>108</v>
      </c>
      <c r="C4" s="8" t="s">
        <v>109</v>
      </c>
      <c r="D4" s="8" t="s">
        <v>110</v>
      </c>
      <c r="E4" s="7" t="s">
        <v>111</v>
      </c>
      <c r="F4" s="8" t="s">
        <v>112</v>
      </c>
      <c r="G4" s="8" t="s">
        <v>113</v>
      </c>
      <c r="H4" s="4" t="s">
        <v>114</v>
      </c>
      <c r="I4" s="4" t="s">
        <v>115</v>
      </c>
      <c r="J4" s="5" t="s">
        <v>116</v>
      </c>
    </row>
    <row r="5" customFormat="false" ht="26.85" hidden="false" customHeight="false" outlineLevel="0" collapsed="false">
      <c r="A5" s="13" t="s">
        <v>117</v>
      </c>
      <c r="B5" s="14" t="s">
        <v>108</v>
      </c>
      <c r="C5" s="14" t="s">
        <v>109</v>
      </c>
      <c r="D5" s="15" t="s">
        <v>118</v>
      </c>
      <c r="E5" s="13" t="s">
        <v>119</v>
      </c>
      <c r="F5" s="15" t="s">
        <v>120</v>
      </c>
      <c r="G5" s="14" t="s">
        <v>121</v>
      </c>
      <c r="H5" s="13" t="s">
        <v>122</v>
      </c>
      <c r="I5" s="13" t="s">
        <v>123</v>
      </c>
      <c r="J5" s="15" t="s">
        <v>124</v>
      </c>
    </row>
    <row r="6" customFormat="false" ht="15" hidden="false" customHeight="false" outlineLevel="0" collapsed="false">
      <c r="A6" s="7" t="s">
        <v>125</v>
      </c>
      <c r="B6" s="8" t="s">
        <v>108</v>
      </c>
      <c r="C6" s="8" t="s">
        <v>126</v>
      </c>
      <c r="D6" s="5" t="s">
        <v>127</v>
      </c>
      <c r="E6" s="7" t="s">
        <v>119</v>
      </c>
      <c r="F6" s="8" t="s">
        <v>128</v>
      </c>
      <c r="G6" s="8" t="s">
        <v>113</v>
      </c>
      <c r="H6" s="4" t="s">
        <v>129</v>
      </c>
      <c r="I6" s="4" t="s">
        <v>130</v>
      </c>
      <c r="J6" s="5" t="s">
        <v>131</v>
      </c>
    </row>
    <row r="7" customFormat="false" ht="15" hidden="false" customHeight="false" outlineLevel="0" collapsed="false">
      <c r="A7" s="13" t="s">
        <v>132</v>
      </c>
      <c r="B7" s="14" t="s">
        <v>108</v>
      </c>
      <c r="C7" s="14" t="s">
        <v>126</v>
      </c>
      <c r="D7" s="15" t="s">
        <v>133</v>
      </c>
      <c r="E7" s="13" t="s">
        <v>134</v>
      </c>
      <c r="F7" s="15" t="s">
        <v>135</v>
      </c>
      <c r="G7" s="14" t="s">
        <v>136</v>
      </c>
      <c r="H7" s="16" t="s">
        <v>137</v>
      </c>
      <c r="I7" s="13" t="s">
        <v>138</v>
      </c>
      <c r="J7" s="15" t="s">
        <v>131</v>
      </c>
    </row>
    <row r="8" customFormat="false" ht="15" hidden="false" customHeight="false" outlineLevel="0" collapsed="false">
      <c r="A8" s="7" t="s">
        <v>139</v>
      </c>
      <c r="B8" s="8" t="s">
        <v>108</v>
      </c>
      <c r="C8" s="8" t="s">
        <v>126</v>
      </c>
      <c r="D8" s="5" t="s">
        <v>140</v>
      </c>
      <c r="E8" s="7" t="s">
        <v>141</v>
      </c>
      <c r="F8" s="5" t="s">
        <v>142</v>
      </c>
      <c r="G8" s="5" t="s">
        <v>143</v>
      </c>
      <c r="H8" s="7" t="s">
        <v>144</v>
      </c>
      <c r="I8" s="4" t="s">
        <v>145</v>
      </c>
      <c r="J8" s="5" t="s">
        <v>146</v>
      </c>
    </row>
    <row r="9" customFormat="false" ht="15" hidden="false" customHeight="false" outlineLevel="0" collapsed="false">
      <c r="A9" s="13" t="s">
        <v>147</v>
      </c>
      <c r="B9" s="14" t="s">
        <v>108</v>
      </c>
      <c r="C9" s="14" t="s">
        <v>126</v>
      </c>
      <c r="D9" s="15" t="s">
        <v>148</v>
      </c>
      <c r="E9" s="13" t="s">
        <v>149</v>
      </c>
      <c r="F9" s="15" t="s">
        <v>135</v>
      </c>
      <c r="G9" s="14" t="s">
        <v>150</v>
      </c>
      <c r="H9" s="16" t="s">
        <v>151</v>
      </c>
      <c r="I9" s="16" t="s">
        <v>152</v>
      </c>
      <c r="J9" s="15" t="s">
        <v>153</v>
      </c>
    </row>
    <row r="10" customFormat="false" ht="29.85" hidden="false" customHeight="false" outlineLevel="0" collapsed="false">
      <c r="A10" s="7" t="s">
        <v>154</v>
      </c>
      <c r="B10" s="8" t="s">
        <v>155</v>
      </c>
      <c r="C10" s="8" t="s">
        <v>156</v>
      </c>
      <c r="D10" s="5" t="s">
        <v>157</v>
      </c>
      <c r="E10" s="7" t="s">
        <v>158</v>
      </c>
      <c r="F10" s="8" t="s">
        <v>159</v>
      </c>
      <c r="G10" s="8" t="s">
        <v>160</v>
      </c>
      <c r="H10" s="4" t="s">
        <v>129</v>
      </c>
      <c r="I10" s="4" t="s">
        <v>161</v>
      </c>
      <c r="J10" s="5" t="s">
        <v>162</v>
      </c>
    </row>
    <row r="11" customFormat="false" ht="15" hidden="false" customHeight="false" outlineLevel="0" collapsed="false">
      <c r="A11" s="13" t="s">
        <v>163</v>
      </c>
      <c r="B11" s="14" t="s">
        <v>108</v>
      </c>
      <c r="C11" s="14" t="s">
        <v>164</v>
      </c>
      <c r="D11" s="15" t="s">
        <v>165</v>
      </c>
      <c r="E11" s="13" t="s">
        <v>166</v>
      </c>
      <c r="F11" s="14" t="s">
        <v>128</v>
      </c>
      <c r="G11" s="14" t="s">
        <v>113</v>
      </c>
      <c r="H11" s="16" t="s">
        <v>129</v>
      </c>
      <c r="I11" s="16" t="s">
        <v>167</v>
      </c>
      <c r="J11" s="15" t="s">
        <v>168</v>
      </c>
    </row>
    <row r="12" customFormat="false" ht="29.85" hidden="false" customHeight="false" outlineLevel="0" collapsed="false">
      <c r="A12" s="4" t="s">
        <v>169</v>
      </c>
      <c r="B12" s="8" t="s">
        <v>170</v>
      </c>
      <c r="C12" s="8" t="s">
        <v>156</v>
      </c>
      <c r="D12" s="5" t="s">
        <v>171</v>
      </c>
      <c r="E12" s="7" t="s">
        <v>172</v>
      </c>
      <c r="F12" s="5" t="s">
        <v>173</v>
      </c>
      <c r="G12" s="8" t="s">
        <v>160</v>
      </c>
      <c r="H12" s="4" t="s">
        <v>174</v>
      </c>
      <c r="I12" s="4" t="s">
        <v>175</v>
      </c>
      <c r="J12" s="5" t="s">
        <v>176</v>
      </c>
    </row>
    <row r="13" customFormat="false" ht="15" hidden="false" customHeight="false" outlineLevel="0" collapsed="false">
      <c r="A13" s="16" t="s">
        <v>177</v>
      </c>
      <c r="B13" s="14" t="s">
        <v>170</v>
      </c>
      <c r="C13" s="14" t="s">
        <v>126</v>
      </c>
      <c r="D13" s="15" t="s">
        <v>178</v>
      </c>
      <c r="E13" s="13" t="s">
        <v>119</v>
      </c>
      <c r="F13" s="14" t="s">
        <v>16</v>
      </c>
      <c r="G13" s="14" t="s">
        <v>179</v>
      </c>
      <c r="H13" s="16" t="s">
        <v>174</v>
      </c>
      <c r="I13" s="16" t="s">
        <v>180</v>
      </c>
      <c r="J13" s="15" t="s">
        <v>181</v>
      </c>
    </row>
    <row r="14" customFormat="false" ht="15" hidden="false" customHeight="false" outlineLevel="0" collapsed="false">
      <c r="A14" s="4" t="s">
        <v>182</v>
      </c>
      <c r="B14" s="8" t="s">
        <v>170</v>
      </c>
      <c r="C14" s="8" t="s">
        <v>126</v>
      </c>
      <c r="D14" s="8" t="s">
        <v>183</v>
      </c>
      <c r="E14" s="7" t="s">
        <v>119</v>
      </c>
      <c r="F14" s="8" t="s">
        <v>16</v>
      </c>
      <c r="G14" s="8" t="s">
        <v>121</v>
      </c>
      <c r="H14" s="4" t="s">
        <v>184</v>
      </c>
      <c r="I14" s="4" t="s">
        <v>185</v>
      </c>
      <c r="J14" s="5" t="s">
        <v>186</v>
      </c>
    </row>
    <row r="15" customFormat="false" ht="15" hidden="false" customHeight="false" outlineLevel="0" collapsed="false">
      <c r="A15" s="16" t="s">
        <v>187</v>
      </c>
      <c r="B15" s="14" t="s">
        <v>170</v>
      </c>
      <c r="C15" s="14" t="s">
        <v>109</v>
      </c>
      <c r="D15" s="14" t="s">
        <v>188</v>
      </c>
      <c r="E15" s="13" t="s">
        <v>189</v>
      </c>
      <c r="F15" s="14" t="s">
        <v>190</v>
      </c>
      <c r="G15" s="14" t="s">
        <v>191</v>
      </c>
      <c r="H15" s="16" t="s">
        <v>174</v>
      </c>
      <c r="I15" s="13" t="s">
        <v>192</v>
      </c>
      <c r="J15" s="15" t="s">
        <v>193</v>
      </c>
    </row>
    <row r="16" customFormat="false" ht="15" hidden="false" customHeight="false" outlineLevel="0" collapsed="false">
      <c r="A16" s="7" t="s">
        <v>194</v>
      </c>
      <c r="B16" s="8" t="s">
        <v>108</v>
      </c>
      <c r="C16" s="8" t="s">
        <v>156</v>
      </c>
      <c r="D16" s="8" t="s">
        <v>195</v>
      </c>
      <c r="E16" s="7" t="s">
        <v>196</v>
      </c>
      <c r="F16" s="8" t="s">
        <v>46</v>
      </c>
      <c r="G16" s="5" t="s">
        <v>197</v>
      </c>
      <c r="H16" s="4" t="s">
        <v>198</v>
      </c>
      <c r="I16" s="4" t="s">
        <v>199</v>
      </c>
      <c r="J16" s="5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34"/>
    <col collapsed="false" customWidth="true" hidden="false" outlineLevel="0" max="5" min="5" style="0" width="12"/>
  </cols>
  <sheetData>
    <row r="1" customFormat="false" ht="20.1" hidden="false" customHeight="false" outlineLevel="0" collapsed="false">
      <c r="A1" s="1" t="s">
        <v>201</v>
      </c>
    </row>
    <row r="3" customFormat="false" ht="15" hidden="false" customHeight="false" outlineLevel="0" collapsed="false">
      <c r="A3" s="2" t="s">
        <v>202</v>
      </c>
      <c r="B3" s="2" t="s">
        <v>203</v>
      </c>
      <c r="C3" s="2" t="s">
        <v>204</v>
      </c>
      <c r="D3" s="2" t="s">
        <v>205</v>
      </c>
      <c r="E3" s="2" t="s">
        <v>206</v>
      </c>
    </row>
    <row r="4" customFormat="false" ht="29.85" hidden="false" customHeight="false" outlineLevel="0" collapsed="false">
      <c r="A4" s="4" t="s">
        <v>207</v>
      </c>
      <c r="B4" s="7" t="s">
        <v>208</v>
      </c>
      <c r="C4" s="17" t="n">
        <v>180</v>
      </c>
      <c r="D4" s="4" t="s">
        <v>209</v>
      </c>
      <c r="E4" s="8" t="s">
        <v>210</v>
      </c>
    </row>
    <row r="5" customFormat="false" ht="38.05" hidden="false" customHeight="false" outlineLevel="0" collapsed="false">
      <c r="A5" s="4" t="s">
        <v>211</v>
      </c>
      <c r="B5" s="7" t="s">
        <v>212</v>
      </c>
      <c r="C5" s="17" t="n">
        <v>150</v>
      </c>
      <c r="D5" s="4" t="s">
        <v>213</v>
      </c>
      <c r="E5" s="8" t="s">
        <v>210</v>
      </c>
    </row>
    <row r="6" customFormat="false" ht="29.85" hidden="false" customHeight="false" outlineLevel="0" collapsed="false">
      <c r="A6" s="4" t="s">
        <v>214</v>
      </c>
      <c r="B6" s="7" t="s">
        <v>215</v>
      </c>
      <c r="C6" s="17" t="n">
        <v>120</v>
      </c>
      <c r="D6" s="4" t="s">
        <v>216</v>
      </c>
      <c r="E6" s="8" t="s">
        <v>217</v>
      </c>
    </row>
    <row r="7" customFormat="false" ht="15" hidden="false" customHeight="false" outlineLevel="0" collapsed="false">
      <c r="A7" s="4" t="s">
        <v>218</v>
      </c>
      <c r="B7" s="4" t="s">
        <v>219</v>
      </c>
      <c r="C7" s="17" t="n">
        <v>90</v>
      </c>
      <c r="D7" s="4" t="s">
        <v>220</v>
      </c>
      <c r="E7" s="8" t="s">
        <v>221</v>
      </c>
    </row>
    <row r="8" customFormat="false" ht="29.85" hidden="false" customHeight="false" outlineLevel="0" collapsed="false">
      <c r="A8" s="4" t="s">
        <v>222</v>
      </c>
      <c r="B8" s="4" t="s">
        <v>223</v>
      </c>
      <c r="C8" s="17" t="n">
        <v>110</v>
      </c>
      <c r="D8" s="4" t="s">
        <v>224</v>
      </c>
      <c r="E8" s="8" t="s">
        <v>221</v>
      </c>
    </row>
    <row r="9" customFormat="false" ht="29.85" hidden="false" customHeight="false" outlineLevel="0" collapsed="false">
      <c r="A9" s="4" t="s">
        <v>225</v>
      </c>
      <c r="B9" s="7" t="s">
        <v>226</v>
      </c>
      <c r="C9" s="17" t="n">
        <v>95</v>
      </c>
      <c r="D9" s="4" t="s">
        <v>227</v>
      </c>
      <c r="E9" s="8" t="s">
        <v>221</v>
      </c>
    </row>
    <row r="10" customFormat="false" ht="29.85" hidden="false" customHeight="false" outlineLevel="0" collapsed="false">
      <c r="A10" s="4" t="s">
        <v>228</v>
      </c>
      <c r="B10" s="4" t="s">
        <v>229</v>
      </c>
      <c r="C10" s="17" t="n">
        <v>85</v>
      </c>
      <c r="D10" s="4" t="s">
        <v>230</v>
      </c>
      <c r="E10" s="8" t="s">
        <v>221</v>
      </c>
    </row>
    <row r="11" customFormat="false" ht="15" hidden="false" customHeight="false" outlineLevel="0" collapsed="false">
      <c r="A11" s="7" t="s">
        <v>231</v>
      </c>
      <c r="B11" s="4" t="s">
        <v>232</v>
      </c>
      <c r="C11" s="17" t="n">
        <v>70</v>
      </c>
      <c r="D11" s="4" t="s">
        <v>233</v>
      </c>
      <c r="E11" s="8" t="s">
        <v>217</v>
      </c>
    </row>
    <row r="12" customFormat="false" ht="15" hidden="false" customHeight="false" outlineLevel="0" collapsed="false">
      <c r="A12" s="7" t="s">
        <v>234</v>
      </c>
      <c r="B12" s="7" t="s">
        <v>235</v>
      </c>
      <c r="C12" s="17" t="n">
        <v>25</v>
      </c>
      <c r="D12" s="4" t="s">
        <v>236</v>
      </c>
      <c r="E12" s="8" t="s">
        <v>221</v>
      </c>
    </row>
    <row r="13" customFormat="false" ht="15" hidden="false" customHeight="false" outlineLevel="0" collapsed="false">
      <c r="A13" s="4" t="s">
        <v>237</v>
      </c>
      <c r="B13" s="4" t="s">
        <v>238</v>
      </c>
      <c r="C13" s="17" t="n">
        <v>260</v>
      </c>
      <c r="D13" s="4" t="s">
        <v>239</v>
      </c>
      <c r="E13" s="8" t="s">
        <v>221</v>
      </c>
    </row>
    <row r="14" customFormat="false" ht="29.85" hidden="false" customHeight="false" outlineLevel="0" collapsed="false">
      <c r="A14" s="4" t="s">
        <v>240</v>
      </c>
      <c r="B14" s="4" t="s">
        <v>241</v>
      </c>
      <c r="C14" s="17" t="n">
        <v>55</v>
      </c>
      <c r="D14" s="7" t="s">
        <v>10</v>
      </c>
      <c r="E14" s="8" t="s">
        <v>221</v>
      </c>
    </row>
    <row r="15" customFormat="false" ht="15" hidden="false" customHeight="false" outlineLevel="0" collapsed="false">
      <c r="A15" s="18" t="s">
        <v>242</v>
      </c>
      <c r="B15" s="19"/>
      <c r="C15" s="20" t="n">
        <f aca="false">SUM(C4:C14)</f>
        <v>1240</v>
      </c>
      <c r="D15" s="19"/>
      <c r="E15" s="19"/>
    </row>
    <row r="16" customFormat="false" ht="15" hidden="false" customHeight="false" outlineLevel="0" collapsed="false">
      <c r="A16" s="9" t="s">
        <v>243</v>
      </c>
    </row>
    <row r="18" customFormat="false" ht="15" hidden="false" customHeight="false" outlineLevel="0" collapsed="false">
      <c r="A18" s="10" t="s">
        <v>244</v>
      </c>
    </row>
    <row r="19" customFormat="false" ht="15" hidden="false" customHeight="false" outlineLevel="0" collapsed="false">
      <c r="A19" s="2" t="s">
        <v>245</v>
      </c>
      <c r="B19" s="2" t="s">
        <v>246</v>
      </c>
      <c r="C19" s="2" t="s">
        <v>247</v>
      </c>
      <c r="D19" s="2" t="s">
        <v>248</v>
      </c>
    </row>
    <row r="20" customFormat="false" ht="15" hidden="false" customHeight="false" outlineLevel="0" collapsed="false">
      <c r="A20" s="7" t="s">
        <v>249</v>
      </c>
      <c r="B20" s="19"/>
      <c r="C20" s="21" t="n">
        <f aca="false">C15</f>
        <v>1240</v>
      </c>
      <c r="D20" s="22" t="s">
        <v>250</v>
      </c>
    </row>
    <row r="21" customFormat="false" ht="15" hidden="false" customHeight="false" outlineLevel="0" collapsed="false">
      <c r="A21" s="4" t="s">
        <v>251</v>
      </c>
      <c r="B21" s="23" t="n">
        <v>0.12</v>
      </c>
      <c r="C21" s="21" t="n">
        <f aca="false">C20*B21</f>
        <v>148.8</v>
      </c>
      <c r="D21" s="22" t="s">
        <v>252</v>
      </c>
    </row>
    <row r="22" customFormat="false" ht="15" hidden="false" customHeight="false" outlineLevel="0" collapsed="false">
      <c r="A22" s="4" t="s">
        <v>253</v>
      </c>
      <c r="B22" s="19"/>
      <c r="C22" s="21" t="n">
        <f aca="false">C20+C21</f>
        <v>1388.8</v>
      </c>
      <c r="D22" s="24" t="s">
        <v>254</v>
      </c>
    </row>
    <row r="23" customFormat="false" ht="15" hidden="false" customHeight="false" outlineLevel="0" collapsed="false">
      <c r="A23" s="4" t="s">
        <v>255</v>
      </c>
      <c r="B23" s="19"/>
      <c r="C23" s="25" t="n">
        <v>2799</v>
      </c>
      <c r="D23" s="22" t="s">
        <v>256</v>
      </c>
    </row>
    <row r="24" customFormat="false" ht="15" hidden="false" customHeight="false" outlineLevel="0" collapsed="false">
      <c r="A24" s="4" t="s">
        <v>257</v>
      </c>
      <c r="B24" s="19"/>
      <c r="C24" s="26" t="n">
        <f aca="false">C23-C22</f>
        <v>1410.2</v>
      </c>
      <c r="D24" s="22" t="s">
        <v>258</v>
      </c>
    </row>
    <row r="25" customFormat="false" ht="15" hidden="false" customHeight="false" outlineLevel="0" collapsed="false">
      <c r="A25" s="4" t="s">
        <v>259</v>
      </c>
      <c r="B25" s="19"/>
      <c r="C25" s="27" t="n">
        <f aca="false">C24/C23</f>
        <v>0.503822793854948</v>
      </c>
      <c r="D25" s="22" t="s">
        <v>260</v>
      </c>
    </row>
    <row r="26" customFormat="false" ht="15" hidden="false" customHeight="false" outlineLevel="0" collapsed="false">
      <c r="A26" s="4" t="s">
        <v>261</v>
      </c>
      <c r="B26" s="23" t="n">
        <v>0.18</v>
      </c>
      <c r="C26" s="21" t="n">
        <f aca="false">C23*B26</f>
        <v>503.82</v>
      </c>
      <c r="D26" s="22" t="s">
        <v>262</v>
      </c>
    </row>
    <row r="27" customFormat="false" ht="15" hidden="false" customHeight="false" outlineLevel="0" collapsed="false">
      <c r="A27" s="4" t="s">
        <v>263</v>
      </c>
      <c r="B27" s="23" t="n">
        <v>0.15</v>
      </c>
      <c r="C27" s="21" t="n">
        <f aca="false">C23*B27</f>
        <v>419.85</v>
      </c>
      <c r="D27" s="22" t="s">
        <v>264</v>
      </c>
    </row>
    <row r="28" customFormat="false" ht="15" hidden="false" customHeight="false" outlineLevel="0" collapsed="false">
      <c r="A28" s="4" t="s">
        <v>265</v>
      </c>
      <c r="B28" s="23" t="n">
        <v>0.06</v>
      </c>
      <c r="C28" s="21" t="n">
        <f aca="false">C23*B28</f>
        <v>167.94</v>
      </c>
      <c r="D28" s="22" t="s">
        <v>266</v>
      </c>
    </row>
    <row r="29" customFormat="false" ht="15" hidden="false" customHeight="false" outlineLevel="0" collapsed="false">
      <c r="A29" s="4" t="s">
        <v>267</v>
      </c>
      <c r="B29" s="19"/>
      <c r="C29" s="21" t="n">
        <f aca="false">C24-C26-C27-C28</f>
        <v>318.59</v>
      </c>
      <c r="D29" s="22" t="s">
        <v>268</v>
      </c>
    </row>
    <row r="30" customFormat="false" ht="15" hidden="false" customHeight="false" outlineLevel="0" collapsed="false">
      <c r="A30" s="4" t="s">
        <v>269</v>
      </c>
      <c r="B30" s="19"/>
      <c r="C30" s="27" t="n">
        <f aca="false">C29/C23</f>
        <v>0.113822793854948</v>
      </c>
      <c r="D30" s="22" t="s">
        <v>270</v>
      </c>
    </row>
    <row r="32" customFormat="false" ht="15" hidden="false" customHeight="false" outlineLevel="0" collapsed="false">
      <c r="A32" s="9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36"/>
  </cols>
  <sheetData>
    <row r="1" customFormat="false" ht="20.1" hidden="false" customHeight="false" outlineLevel="0" collapsed="false">
      <c r="A1" s="1" t="s">
        <v>272</v>
      </c>
    </row>
    <row r="3" customFormat="false" ht="15" hidden="false" customHeight="false" outlineLevel="0" collapsed="false">
      <c r="A3" s="2" t="s">
        <v>273</v>
      </c>
      <c r="B3" s="2" t="s">
        <v>274</v>
      </c>
      <c r="C3" s="3" t="s">
        <v>275</v>
      </c>
      <c r="D3" s="3" t="s">
        <v>276</v>
      </c>
      <c r="E3" s="3" t="s">
        <v>277</v>
      </c>
      <c r="F3" s="2" t="s">
        <v>278</v>
      </c>
      <c r="G3" s="2" t="s">
        <v>279</v>
      </c>
    </row>
    <row r="4" customFormat="false" ht="15" hidden="false" customHeight="false" outlineLevel="0" collapsed="false">
      <c r="A4" s="4" t="s">
        <v>280</v>
      </c>
      <c r="B4" s="4" t="s">
        <v>281</v>
      </c>
      <c r="C4" s="4" t="s">
        <v>282</v>
      </c>
      <c r="D4" s="4" t="s">
        <v>283</v>
      </c>
      <c r="E4" s="7" t="s">
        <v>284</v>
      </c>
      <c r="F4" s="4" t="s">
        <v>285</v>
      </c>
      <c r="G4" s="4" t="s">
        <v>286</v>
      </c>
    </row>
    <row r="5" customFormat="false" ht="15" hidden="false" customHeight="false" outlineLevel="0" collapsed="false">
      <c r="A5" s="4" t="s">
        <v>287</v>
      </c>
      <c r="B5" s="4" t="s">
        <v>288</v>
      </c>
      <c r="C5" s="4" t="s">
        <v>289</v>
      </c>
      <c r="D5" s="4" t="s">
        <v>290</v>
      </c>
      <c r="E5" s="7" t="s">
        <v>291</v>
      </c>
      <c r="F5" s="4" t="s">
        <v>292</v>
      </c>
      <c r="G5" s="4" t="s">
        <v>293</v>
      </c>
    </row>
    <row r="6" customFormat="false" ht="23.85" hidden="false" customHeight="false" outlineLevel="0" collapsed="false">
      <c r="A6" s="4" t="s">
        <v>294</v>
      </c>
      <c r="B6" s="4" t="s">
        <v>295</v>
      </c>
      <c r="C6" s="7" t="s">
        <v>296</v>
      </c>
      <c r="D6" s="4" t="s">
        <v>297</v>
      </c>
      <c r="E6" s="28" t="n">
        <f aca="false">100%</f>
        <v>1</v>
      </c>
      <c r="F6" s="7" t="s">
        <v>10</v>
      </c>
      <c r="G6" s="4" t="s">
        <v>298</v>
      </c>
    </row>
    <row r="7" customFormat="false" ht="29.85" hidden="false" customHeight="false" outlineLevel="0" collapsed="false">
      <c r="A7" s="4" t="s">
        <v>299</v>
      </c>
      <c r="B7" s="4" t="s">
        <v>281</v>
      </c>
      <c r="C7" s="4" t="s">
        <v>300</v>
      </c>
      <c r="D7" s="4" t="s">
        <v>301</v>
      </c>
      <c r="E7" s="7" t="s">
        <v>302</v>
      </c>
      <c r="F7" s="4" t="s">
        <v>303</v>
      </c>
      <c r="G7" s="4" t="s">
        <v>304</v>
      </c>
    </row>
    <row r="8" customFormat="false" ht="15" hidden="false" customHeight="false" outlineLevel="0" collapsed="false">
      <c r="A8" s="4" t="s">
        <v>305</v>
      </c>
      <c r="B8" s="4" t="s">
        <v>306</v>
      </c>
      <c r="C8" s="4" t="s">
        <v>307</v>
      </c>
      <c r="D8" s="7" t="s">
        <v>10</v>
      </c>
      <c r="E8" s="7" t="s">
        <v>308</v>
      </c>
      <c r="F8" s="4" t="s">
        <v>309</v>
      </c>
      <c r="G8" s="4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2026-06-03T14:48:12Z</dcterms:created>
  <dc:creator>openpyxl</dc:creator>
  <dc:description/>
  <dc:language>en-US</dc:language>
  <cp:lastModifiedBy/>
  <dcterms:modified xsi:type="dcterms:W3CDTF">2026-06-03T14:48:12Z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