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市场规模" sheetId="1" state="visible" r:id="rId3"/>
    <sheet name="2_地区分布" sheetId="2" state="visible" r:id="rId4"/>
    <sheet name="3_品类x价格矩阵" sheetId="3" state="visible" r:id="rId5"/>
    <sheet name="4_竞品对比_5kWh段" sheetId="4" state="visible" r:id="rId6"/>
    <sheet name="5_BOM_单位经济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<sst xmlns="http://schemas.openxmlformats.org/spreadsheetml/2006/main" count="283" uniqueCount="245">
  <si>
    <r>
      <rPr>
        <b val="true"/>
        <sz val="12"/>
        <rFont val="Noto Sans CJK SC"/>
        <family val="2"/>
      </rPr>
      <t xml:space="preserve">阳台储能市场规模 — 地域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Noto Sans CJK SC"/>
        <family val="2"/>
      </rPr>
      <t xml:space="preserve">指标（口径分行，勿跨口径比较）</t>
    </r>
  </si>
  <si>
    <r>
      <rPr>
        <b val="true"/>
        <sz val="10"/>
        <color rgb="FFFFFFFF"/>
        <rFont val="Noto Sans CJK SC"/>
        <family val="2"/>
      </rPr>
      <t xml:space="preserve">口径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品类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指标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地域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年份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</si>
  <si>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数值</t>
  </si>
  <si>
    <r>
      <rPr>
        <b val="true"/>
        <sz val="10"/>
        <color rgb="FFFFFFFF"/>
        <rFont val="Noto Sans CJK SC"/>
        <family val="2"/>
      </rPr>
      <t xml:space="preserve">同比</t>
    </r>
    <r>
      <rPr>
        <b val="true"/>
        <sz val="10"/>
        <color rgb="FFFFFFFF"/>
        <rFont val="Arial"/>
        <family val="0"/>
        <charset val="1"/>
      </rPr>
      <t xml:space="preserve">/CAGR</t>
    </r>
  </si>
  <si>
    <t xml:space="preserve">来源</t>
  </si>
  <si>
    <t xml:space="preserve">置信度</t>
  </si>
  <si>
    <t xml:space="preserve">备注</t>
  </si>
  <si>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阳台储能系统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销售额</t>
    </r>
    <r>
      <rPr>
        <sz val="10"/>
        <rFont val="Arial"/>
        <family val="0"/>
        <charset val="1"/>
      </rPr>
      <t xml:space="preserve">·2025</t>
    </r>
  </si>
  <si>
    <r>
      <rPr>
        <sz val="10"/>
        <rFont val="Arial"/>
        <family val="0"/>
        <charset val="1"/>
      </rPr>
      <t xml:space="preserve">≈ US$3.3 </t>
    </r>
    <r>
      <rPr>
        <sz val="10"/>
        <rFont val="Noto Sans CJK SC"/>
        <family val="2"/>
      </rPr>
      <t xml:space="preserve">亿</t>
    </r>
  </si>
  <si>
    <r>
      <rPr>
        <sz val="10"/>
        <rFont val="Arial"/>
        <family val="0"/>
        <charset val="1"/>
      </rPr>
      <t xml:space="preserve">→US$12.4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(2033), CAGR18%</t>
    </r>
  </si>
  <si>
    <t xml:space="preserve">Congruence Market Insights</t>
  </si>
  <si>
    <t xml:space="preserve">低</t>
  </si>
  <si>
    <t xml:space="preserve">预测机构口径，单点，需交叉验证</t>
  </si>
  <si>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阳台储能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安装量</t>
    </r>
    <r>
      <rPr>
        <sz val="10"/>
        <rFont val="Arial"/>
        <family val="0"/>
        <charset val="1"/>
      </rPr>
      <t xml:space="preserve">·2025(</t>
    </r>
    <r>
      <rPr>
        <sz val="10"/>
        <rFont val="Noto Sans CJK SC"/>
        <family val="2"/>
      </rPr>
      <t xml:space="preserve">累计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</si>
  <si>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≈ 350–400 </t>
    </r>
    <r>
      <rPr>
        <sz val="10"/>
        <rFont val="Noto Sans CJK SC"/>
        <family val="2"/>
      </rPr>
      <t xml:space="preserve">万套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欧洲口径</t>
    </r>
    <r>
      <rPr>
        <sz val="10"/>
        <rFont val="Arial"/>
        <family val="0"/>
        <charset val="1"/>
      </rPr>
      <t xml:space="preserve">)</t>
    </r>
  </si>
  <si>
    <t xml:space="preserve">—</t>
  </si>
  <si>
    <r>
      <rPr>
        <sz val="10"/>
        <rFont val="Noto Sans CJK SC"/>
        <family val="2"/>
      </rPr>
      <t xml:space="preserve">行业报道</t>
    </r>
    <r>
      <rPr>
        <sz val="10"/>
        <rFont val="Arial"/>
        <family val="0"/>
        <charset val="1"/>
      </rPr>
      <t xml:space="preserve">/WattCycle</t>
    </r>
    <r>
      <rPr>
        <sz val="10"/>
        <rFont val="Noto Sans CJK SC"/>
        <family val="2"/>
      </rPr>
      <t xml:space="preserve">引述</t>
    </r>
  </si>
  <si>
    <t xml:space="preserve">口径含全部阳台光储，非仅储能</t>
  </si>
  <si>
    <r>
      <rPr>
        <sz val="10"/>
        <rFont val="Noto Sans CJK SC"/>
        <family val="2"/>
      </rPr>
      <t xml:space="preserve">德国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阳台光伏系统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注册量</t>
    </r>
    <r>
      <rPr>
        <sz val="10"/>
        <rFont val="Arial"/>
        <family val="0"/>
        <charset val="1"/>
      </rPr>
      <t xml:space="preserve">·2025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累计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</si>
  <si>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≈ 97.6 </t>
    </r>
    <r>
      <rPr>
        <sz val="10"/>
        <rFont val="Noto Sans CJK SC"/>
        <family val="2"/>
      </rPr>
      <t xml:space="preserve">万–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万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套</t>
    </r>
  </si>
  <si>
    <t xml:space="preserve">持续高增</t>
  </si>
  <si>
    <t xml:space="preserve">MaStR / US Solar Supplier</t>
  </si>
  <si>
    <t xml:space="preserve">高</t>
  </si>
  <si>
    <r>
      <rPr>
        <sz val="10"/>
        <rFont val="Noto Sans CJK SC"/>
        <family val="2"/>
      </rPr>
      <t xml:space="preserve">含未注册估计超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万</t>
    </r>
  </si>
  <si>
    <r>
      <rPr>
        <sz val="10"/>
        <rFont val="Noto Sans CJK SC"/>
        <family val="2"/>
      </rPr>
      <t xml:space="preserve">德国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阳台储能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带电池</t>
    </r>
    <r>
      <rPr>
        <sz val="10"/>
        <rFont val="Arial"/>
        <family val="0"/>
        <charset val="1"/>
      </rPr>
      <t xml:space="preserve">)·</t>
    </r>
    <r>
      <rPr>
        <sz val="10"/>
        <rFont val="Noto Sans CJK SC"/>
        <family val="2"/>
      </rPr>
      <t xml:space="preserve">新增安装</t>
    </r>
    <r>
      <rPr>
        <sz val="10"/>
        <rFont val="Arial"/>
        <family val="0"/>
        <charset val="1"/>
      </rPr>
      <t xml:space="preserve">·2024</t>
    </r>
  </si>
  <si>
    <r>
      <rPr>
        <sz val="10"/>
        <rFont val="Arial"/>
        <family val="0"/>
        <charset val="1"/>
      </rPr>
      <t xml:space="preserve">≈ 22.2 </t>
    </r>
    <r>
      <rPr>
        <sz val="10"/>
        <rFont val="Noto Sans CJK SC"/>
        <family val="2"/>
      </rPr>
      <t xml:space="preserve">万套</t>
    </r>
  </si>
  <si>
    <t xml:space="preserve">+97% YoY</t>
  </si>
  <si>
    <t xml:space="preserve">EUPD Research</t>
  </si>
  <si>
    <t xml:space="preserve">中</t>
  </si>
  <si>
    <r>
      <rPr>
        <sz val="10"/>
        <rFont val="Noto Sans CJK SC"/>
        <family val="2"/>
      </rPr>
      <t xml:space="preserve">另有来源称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万套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口径差异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</si>
  <si>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德国</t>
    </r>
    <r>
      <rPr>
        <sz val="10"/>
        <rFont val="Arial"/>
        <family val="0"/>
        <charset val="1"/>
      </rPr>
      <t xml:space="preserve">·0–1kW</t>
    </r>
    <r>
      <rPr>
        <sz val="10"/>
        <rFont val="Noto Sans CJK SC"/>
        <family val="2"/>
      </rPr>
      <t xml:space="preserve">储能系统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注册量</t>
    </r>
    <r>
      <rPr>
        <sz val="10"/>
        <rFont val="Arial"/>
        <family val="0"/>
        <charset val="1"/>
      </rPr>
      <t xml:space="preserve">·2025</t>
    </r>
  </si>
  <si>
    <t xml:space="preserve">+173% YoY</t>
  </si>
  <si>
    <r>
      <rPr>
        <sz val="10"/>
        <rFont val="Noto Sans CJK SC"/>
        <family val="2"/>
      </rPr>
      <t xml:space="preserve">券商研报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引</t>
    </r>
    <r>
      <rPr>
        <sz val="10"/>
        <rFont val="Arial"/>
        <family val="0"/>
        <charset val="1"/>
      </rPr>
      <t xml:space="preserve">Bundesnetzagentur)</t>
    </r>
  </si>
  <si>
    <t xml:space="preserve">2026Q1 +47% / M4 +83% / M5 +78%</t>
  </si>
  <si>
    <r>
      <rPr>
        <sz val="10"/>
        <rFont val="Noto Sans CJK SC"/>
        <family val="2"/>
      </rPr>
      <t xml:space="preserve">德国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新装</t>
    </r>
    <r>
      <rPr>
        <sz val="10"/>
        <rFont val="Arial"/>
        <family val="0"/>
        <charset val="1"/>
      </rPr>
      <t xml:space="preserve">PV</t>
    </r>
    <r>
      <rPr>
        <sz val="10"/>
        <rFont val="Noto Sans CJK SC"/>
        <family val="2"/>
      </rPr>
      <t xml:space="preserve">配储率</t>
    </r>
    <r>
      <rPr>
        <sz val="10"/>
        <rFont val="Arial"/>
        <family val="0"/>
        <charset val="1"/>
      </rPr>
      <t xml:space="preserve">·2025</t>
    </r>
  </si>
  <si>
    <r>
      <rPr>
        <sz val="10"/>
        <rFont val="Arial"/>
        <family val="0"/>
        <charset val="1"/>
      </rPr>
      <t xml:space="preserve">20–35%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BSW</t>
    </r>
    <r>
      <rPr>
        <sz val="10"/>
        <rFont val="Noto Sans CJK SC"/>
        <family val="2"/>
      </rPr>
      <t xml:space="preserve">口径住宅</t>
    </r>
    <r>
      <rPr>
        <sz val="10"/>
        <rFont val="Arial"/>
        <family val="0"/>
        <charset val="1"/>
      </rPr>
      <t xml:space="preserve">PV&gt;80%</t>
    </r>
    <r>
      <rPr>
        <sz val="10"/>
        <rFont val="Noto Sans CJK SC"/>
        <family val="2"/>
      </rPr>
      <t xml:space="preserve">配储）</t>
    </r>
  </si>
  <si>
    <t xml:space="preserve">上升</t>
  </si>
  <si>
    <t xml:space="preserve">Energiemagazin/Statista/BSW</t>
  </si>
  <si>
    <t xml:space="preserve">阳台储能配储率低于整体住宅</t>
  </si>
  <si>
    <r>
      <rPr>
        <sz val="10"/>
        <rFont val="Noto Sans CJK SC"/>
        <family val="2"/>
      </rPr>
      <t xml:space="preserve">安克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阳台储能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全球零售额份额</t>
    </r>
    <r>
      <rPr>
        <sz val="10"/>
        <rFont val="Arial"/>
        <family val="0"/>
        <charset val="1"/>
      </rPr>
      <t xml:space="preserve">·2025</t>
    </r>
  </si>
  <si>
    <r>
      <rPr>
        <sz val="10"/>
        <rFont val="Arial"/>
        <family val="0"/>
        <charset val="1"/>
      </rPr>
      <t xml:space="preserve">14.6%</t>
    </r>
    <r>
      <rPr>
        <sz val="10"/>
        <rFont val="Noto Sans CJK SC"/>
        <family val="2"/>
      </rPr>
      <t xml:space="preserve">（全球第一）</t>
    </r>
  </si>
  <si>
    <r>
      <rPr>
        <sz val="10"/>
        <rFont val="Noto Sans CJK SC"/>
        <family val="2"/>
      </rPr>
      <t xml:space="preserve">安克招股书</t>
    </r>
    <r>
      <rPr>
        <sz val="10"/>
        <rFont val="Arial"/>
        <family val="0"/>
        <charset val="1"/>
      </rPr>
      <t xml:space="preserve">/Euromonitor</t>
    </r>
  </si>
  <si>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起连续全球</t>
    </r>
    <r>
      <rPr>
        <sz val="10"/>
        <rFont val="Arial"/>
        <family val="0"/>
        <charset val="1"/>
      </rPr>
      <t xml:space="preserve">NO.1</t>
    </r>
  </si>
  <si>
    <r>
      <rPr>
        <sz val="10"/>
        <rFont val="Noto Sans CJK SC"/>
        <family val="2"/>
      </rPr>
      <t xml:space="preserve">安克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储能业务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营收</t>
    </r>
    <r>
      <rPr>
        <sz val="10"/>
        <rFont val="Arial"/>
        <family val="0"/>
        <charset val="1"/>
      </rPr>
      <t xml:space="preserve">·2024</t>
    </r>
  </si>
  <si>
    <r>
      <rPr>
        <sz val="10"/>
        <rFont val="Arial"/>
        <family val="0"/>
        <charset val="1"/>
      </rPr>
      <t xml:space="preserve">¥30.2 </t>
    </r>
    <r>
      <rPr>
        <sz val="10"/>
        <rFont val="Noto Sans CJK SC"/>
        <family val="2"/>
      </rPr>
      <t xml:space="preserve">亿</t>
    </r>
  </si>
  <si>
    <t xml:space="preserve">+184% YoY</t>
  </si>
  <si>
    <r>
      <rPr>
        <sz val="10"/>
        <rFont val="Noto Sans CJK SC"/>
        <family val="2"/>
      </rPr>
      <t xml:space="preserve">安克创新</t>
    </r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年报</t>
    </r>
  </si>
  <si>
    <r>
      <rPr>
        <sz val="10"/>
        <rFont val="Noto Sans CJK SC"/>
        <family val="2"/>
      </rPr>
      <t xml:space="preserve">占总营收约</t>
    </r>
    <r>
      <rPr>
        <sz val="10"/>
        <rFont val="Arial"/>
        <family val="0"/>
        <charset val="1"/>
      </rPr>
      <t xml:space="preserve">12%</t>
    </r>
  </si>
  <si>
    <r>
      <rPr>
        <sz val="10"/>
        <rFont val="Noto Sans CJK SC"/>
        <family val="2"/>
      </rPr>
      <t xml:space="preserve">安克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储能业务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营收</t>
    </r>
    <r>
      <rPr>
        <sz val="10"/>
        <rFont val="Arial"/>
        <family val="0"/>
        <charset val="1"/>
      </rPr>
      <t xml:space="preserve">·2025</t>
    </r>
  </si>
  <si>
    <r>
      <rPr>
        <sz val="10"/>
        <rFont val="Arial"/>
        <family val="0"/>
        <charset val="1"/>
      </rPr>
      <t xml:space="preserve">&gt; ¥45 </t>
    </r>
    <r>
      <rPr>
        <sz val="10"/>
        <rFont val="Noto Sans CJK SC"/>
        <family val="2"/>
      </rPr>
      <t xml:space="preserve">亿</t>
    </r>
  </si>
  <si>
    <t xml:space="preserve">+49% YoY</t>
  </si>
  <si>
    <r>
      <rPr>
        <sz val="10"/>
        <rFont val="Noto Sans CJK SC"/>
        <family val="2"/>
      </rPr>
      <t xml:space="preserve">安克创新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年报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研报</t>
    </r>
  </si>
  <si>
    <r>
      <rPr>
        <sz val="10"/>
        <rFont val="Noto Sans CJK SC"/>
        <family val="2"/>
      </rPr>
      <t xml:space="preserve">占总营收约</t>
    </r>
    <r>
      <rPr>
        <sz val="10"/>
        <rFont val="Arial"/>
        <family val="0"/>
        <charset val="1"/>
      </rPr>
      <t xml:space="preserve">15%</t>
    </r>
  </si>
  <si>
    <t xml:space="preserve">阳台储能 地区分布与政策驱动（欧洲为绝对核心，中国为供给非需求市场）</t>
  </si>
  <si>
    <t xml:space="preserve">地区</t>
  </si>
  <si>
    <r>
      <rPr>
        <b val="true"/>
        <sz val="10"/>
        <color rgb="FFFFFFFF"/>
        <rFont val="Noto Sans CJK SC"/>
        <family val="2"/>
      </rPr>
      <t xml:space="preserve">市场地位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规模信号</t>
    </r>
  </si>
  <si>
    <t xml:space="preserve">近期增速信号</t>
  </si>
  <si>
    <r>
      <rPr>
        <b val="true"/>
        <sz val="10"/>
        <color rgb="FFFFFFFF"/>
        <rFont val="Noto Sans CJK SC"/>
        <family val="2"/>
      </rPr>
      <t xml:space="preserve">关键政策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驱动</t>
    </r>
  </si>
  <si>
    <r>
      <rPr>
        <b val="true"/>
        <sz val="10"/>
        <color rgb="FFFFFFFF"/>
        <rFont val="Noto Sans CJK SC"/>
        <family val="2"/>
      </rPr>
      <t xml:space="preserve">对</t>
    </r>
    <r>
      <rPr>
        <b val="true"/>
        <sz val="10"/>
        <color rgb="FFFFFFFF"/>
        <rFont val="Arial"/>
        <family val="0"/>
        <charset val="1"/>
      </rPr>
      <t xml:space="preserve">5kWh+</t>
    </r>
    <r>
      <rPr>
        <b val="true"/>
        <sz val="10"/>
        <color rgb="FFFFFFFF"/>
        <rFont val="Noto Sans CJK SC"/>
        <family val="2"/>
      </rPr>
      <t xml:space="preserve">段影响</t>
    </r>
  </si>
  <si>
    <t xml:space="preserve">德国</t>
  </si>
  <si>
    <r>
      <rPr>
        <sz val="10"/>
        <rFont val="Noto Sans CJK SC"/>
        <family val="2"/>
      </rPr>
      <t xml:space="preserve">全球核心，占欧洲大头；公寓渗透率仅</t>
    </r>
    <r>
      <rPr>
        <sz val="10"/>
        <rFont val="Arial"/>
        <family val="0"/>
        <charset val="1"/>
      </rPr>
      <t xml:space="preserve">~3%</t>
    </r>
  </si>
  <si>
    <r>
      <rPr>
        <sz val="10"/>
        <rFont val="Arial"/>
        <family val="0"/>
        <charset val="1"/>
      </rPr>
      <t xml:space="preserve">0–1kW</t>
    </r>
    <r>
      <rPr>
        <sz val="10"/>
        <rFont val="Noto Sans CJK SC"/>
        <family val="2"/>
      </rPr>
      <t xml:space="preserve">储能注册</t>
    </r>
    <r>
      <rPr>
        <sz val="10"/>
        <rFont val="Arial"/>
        <family val="0"/>
        <charset val="1"/>
      </rPr>
      <t xml:space="preserve">2025 +173%</t>
    </r>
  </si>
  <si>
    <r>
      <rPr>
        <sz val="10"/>
        <rFont val="Arial"/>
        <family val="0"/>
        <charset val="1"/>
      </rPr>
      <t xml:space="preserve">Solarpaket I(800W)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Solarspitzengesetz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VDE-AR-N 4105:2026-03</t>
    </r>
    <r>
      <rPr>
        <sz val="10"/>
        <rFont val="Noto Sans CJK SC"/>
        <family val="2"/>
      </rPr>
      <t xml:space="preserve">解除</t>
    </r>
    <r>
      <rPr>
        <sz val="10"/>
        <rFont val="Arial"/>
        <family val="0"/>
        <charset val="1"/>
      </rPr>
      <t xml:space="preserve">2000Wp</t>
    </r>
    <r>
      <rPr>
        <sz val="10"/>
        <rFont val="Noto Sans CJK SC"/>
        <family val="2"/>
      </rPr>
      <t xml:space="preserve">面板上限、</t>
    </r>
    <r>
      <rPr>
        <sz val="10"/>
        <rFont val="Arial"/>
        <family val="0"/>
        <charset val="1"/>
      </rPr>
      <t xml:space="preserve">EEG2027</t>
    </r>
    <r>
      <rPr>
        <sz val="10"/>
        <rFont val="Noto Sans CJK SC"/>
        <family val="2"/>
      </rPr>
      <t xml:space="preserve">草案拟取消</t>
    </r>
    <r>
      <rPr>
        <sz val="10"/>
        <rFont val="Arial"/>
        <family val="0"/>
        <charset val="1"/>
      </rPr>
      <t xml:space="preserve">&lt;25kW</t>
    </r>
    <r>
      <rPr>
        <sz val="10"/>
        <rFont val="Noto Sans CJK SC"/>
        <family val="2"/>
      </rPr>
      <t xml:space="preserve">上网电价</t>
    </r>
  </si>
  <si>
    <r>
      <rPr>
        <sz val="10"/>
        <rFont val="Noto Sans CJK SC"/>
        <family val="2"/>
      </rPr>
      <t xml:space="preserve">面板上限解除→</t>
    </r>
    <r>
      <rPr>
        <sz val="10"/>
        <rFont val="Arial"/>
        <family val="0"/>
        <charset val="1"/>
      </rPr>
      <t xml:space="preserve">5–10kWp</t>
    </r>
    <r>
      <rPr>
        <sz val="10"/>
        <rFont val="Noto Sans CJK SC"/>
        <family val="2"/>
      </rPr>
      <t xml:space="preserve">配大电池合规化，直接利好</t>
    </r>
    <r>
      <rPr>
        <sz val="10"/>
        <rFont val="Arial"/>
        <family val="0"/>
        <charset val="1"/>
      </rPr>
      <t xml:space="preserve">5kWh+</t>
    </r>
  </si>
  <si>
    <t xml:space="preserve">荷兰</t>
  </si>
  <si>
    <r>
      <rPr>
        <sz val="10"/>
        <rFont val="Noto Sans CJK SC"/>
        <family val="2"/>
      </rPr>
      <t xml:space="preserve">增量最快之一；累计阳台储能≈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万台</t>
    </r>
    <r>
      <rPr>
        <sz val="10"/>
        <rFont val="Arial"/>
        <family val="0"/>
        <charset val="1"/>
      </rPr>
      <t xml:space="preserve">(2026.3)</t>
    </r>
  </si>
  <si>
    <r>
      <rPr>
        <sz val="10"/>
        <rFont val="Arial"/>
        <family val="0"/>
        <charset val="1"/>
      </rPr>
      <t xml:space="preserve">0–15kW</t>
    </r>
    <r>
      <rPr>
        <sz val="10"/>
        <rFont val="Noto Sans CJK SC"/>
        <family val="2"/>
      </rPr>
      <t xml:space="preserve">储能</t>
    </r>
    <r>
      <rPr>
        <sz val="10"/>
        <rFont val="Arial"/>
        <family val="0"/>
        <charset val="1"/>
      </rPr>
      <t xml:space="preserve">2025 +296%→2026M4 +648%</t>
    </r>
  </si>
  <si>
    <r>
      <rPr>
        <sz val="10"/>
        <rFont val="Noto Sans CJK SC"/>
        <family val="2"/>
      </rPr>
      <t xml:space="preserve">净计量</t>
    </r>
    <r>
      <rPr>
        <sz val="10"/>
        <rFont val="Arial"/>
        <family val="0"/>
        <charset val="1"/>
      </rPr>
      <t xml:space="preserve">(saldering)2027</t>
    </r>
    <r>
      <rPr>
        <sz val="10"/>
        <rFont val="Noto Sans CJK SC"/>
        <family val="2"/>
      </rPr>
      <t xml:space="preserve">退坡→自用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储能刚需</t>
    </r>
  </si>
  <si>
    <r>
      <rPr>
        <sz val="10"/>
        <rFont val="Noto Sans CJK SC"/>
        <family val="2"/>
      </rPr>
      <t xml:space="preserve">有光无储家庭多→大容量</t>
    </r>
    <r>
      <rPr>
        <sz val="10"/>
        <rFont val="Arial"/>
        <family val="0"/>
        <charset val="1"/>
      </rPr>
      <t xml:space="preserve">/AC</t>
    </r>
    <r>
      <rPr>
        <sz val="10"/>
        <rFont val="Noto Sans CJK SC"/>
        <family val="2"/>
      </rPr>
      <t xml:space="preserve">储能空间大</t>
    </r>
  </si>
  <si>
    <t xml:space="preserve">比利时</t>
  </si>
  <si>
    <r>
      <rPr>
        <sz val="10"/>
        <rFont val="Arial"/>
        <family val="0"/>
        <charset val="1"/>
      </rPr>
      <t xml:space="preserve">2025.4</t>
    </r>
    <r>
      <rPr>
        <sz val="10"/>
        <rFont val="Noto Sans CJK SC"/>
        <family val="2"/>
      </rPr>
      <t xml:space="preserve">放开，累计注册</t>
    </r>
    <r>
      <rPr>
        <sz val="10"/>
        <rFont val="Arial"/>
        <family val="0"/>
        <charset val="1"/>
      </rPr>
      <t xml:space="preserve">&gt;8000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(2026.4)</t>
    </r>
  </si>
  <si>
    <t xml:space="preserve">放开后持续放量</t>
  </si>
  <si>
    <t xml:space="preserve">阳台储能政策明确</t>
  </si>
  <si>
    <t xml:space="preserve">早期，容量需求随渗透上移</t>
  </si>
  <si>
    <t xml:space="preserve">英国</t>
  </si>
  <si>
    <r>
      <rPr>
        <sz val="10"/>
        <rFont val="Arial"/>
        <family val="0"/>
        <charset val="1"/>
      </rPr>
      <t xml:space="preserve">2026.4.15 BS7671 Amd4 </t>
    </r>
    <r>
      <rPr>
        <sz val="10"/>
        <rFont val="Noto Sans CJK SC"/>
        <family val="2"/>
      </rPr>
      <t xml:space="preserve">合法化插电光伏</t>
    </r>
  </si>
  <si>
    <r>
      <rPr>
        <sz val="10"/>
        <rFont val="Noto Sans CJK SC"/>
        <family val="2"/>
      </rPr>
      <t xml:space="preserve">户储</t>
    </r>
    <r>
      <rPr>
        <sz val="10"/>
        <rFont val="Arial"/>
        <family val="0"/>
        <charset val="1"/>
      </rPr>
      <t xml:space="preserve">2025 +97%</t>
    </r>
  </si>
  <si>
    <r>
      <rPr>
        <sz val="10"/>
        <rFont val="Arial"/>
        <family val="0"/>
        <charset val="1"/>
      </rPr>
      <t xml:space="preserve">BSI</t>
    </r>
    <r>
      <rPr>
        <sz val="10"/>
        <rFont val="Noto Sans CJK SC"/>
        <family val="2"/>
      </rPr>
      <t xml:space="preserve">产品标准预计</t>
    </r>
    <r>
      <rPr>
        <sz val="10"/>
        <rFont val="Arial"/>
        <family val="0"/>
        <charset val="1"/>
      </rPr>
      <t xml:space="preserve">2026.7</t>
    </r>
    <r>
      <rPr>
        <sz val="10"/>
        <rFont val="Noto Sans CJK SC"/>
        <family val="2"/>
      </rPr>
      <t xml:space="preserve">出台后阳台储能上架</t>
    </r>
  </si>
  <si>
    <t xml:space="preserve">新开市场，安克已备货待入</t>
  </si>
  <si>
    <r>
      <rPr>
        <sz val="10"/>
        <rFont val="Noto Sans CJK SC"/>
        <family val="2"/>
      </rPr>
      <t xml:space="preserve">瑞士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奥地利</t>
    </r>
  </si>
  <si>
    <r>
      <rPr>
        <sz val="10"/>
        <rFont val="Noto Sans CJK SC"/>
        <family val="2"/>
      </rPr>
      <t xml:space="preserve">瑞士</t>
    </r>
    <r>
      <rPr>
        <sz val="10"/>
        <rFont val="Arial"/>
        <family val="0"/>
        <charset val="1"/>
      </rPr>
      <t xml:space="preserve">2026.5</t>
    </r>
    <r>
      <rPr>
        <sz val="10"/>
        <rFont val="Noto Sans CJK SC"/>
        <family val="2"/>
      </rPr>
      <t xml:space="preserve">明确；奥地利无面板尺寸限制</t>
    </r>
  </si>
  <si>
    <t xml:space="preserve">早期</t>
  </si>
  <si>
    <t xml:space="preserve">跟随德国模式</t>
  </si>
  <si>
    <t xml:space="preserve">增量地区</t>
  </si>
  <si>
    <r>
      <rPr>
        <sz val="10"/>
        <rFont val="Noto Sans CJK SC"/>
        <family val="2"/>
      </rPr>
      <t xml:space="preserve">北美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美国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</si>
  <si>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远落后；≤</t>
    </r>
    <r>
      <rPr>
        <sz val="10"/>
        <rFont val="Arial"/>
        <family val="0"/>
        <charset val="1"/>
      </rPr>
      <t xml:space="preserve">1200W</t>
    </r>
    <r>
      <rPr>
        <sz val="10"/>
        <rFont val="Noto Sans CJK SC"/>
        <family val="2"/>
      </rPr>
      <t xml:space="preserve">；无电池认证路径</t>
    </r>
  </si>
  <si>
    <r>
      <rPr>
        <sz val="10"/>
        <rFont val="Arial"/>
        <family val="0"/>
        <charset val="1"/>
      </rPr>
      <t xml:space="preserve">&gt;30</t>
    </r>
    <r>
      <rPr>
        <sz val="10"/>
        <rFont val="Noto Sans CJK SC"/>
        <family val="2"/>
      </rPr>
      <t xml:space="preserve">州立法，</t>
    </r>
    <r>
      <rPr>
        <sz val="10"/>
        <rFont val="Arial"/>
        <family val="0"/>
        <charset val="1"/>
      </rPr>
      <t xml:space="preserve">Utah/VA/ME</t>
    </r>
    <r>
      <rPr>
        <sz val="10"/>
        <rFont val="Noto Sans CJK SC"/>
        <family val="2"/>
      </rPr>
      <t xml:space="preserve">先行</t>
    </r>
  </si>
  <si>
    <r>
      <rPr>
        <sz val="10"/>
        <rFont val="Arial"/>
        <family val="0"/>
        <charset val="1"/>
      </rPr>
      <t xml:space="preserve">UL 3700(2026.1)</t>
    </r>
    <r>
      <rPr>
        <sz val="10"/>
        <rFont val="Noto Sans CJK SC"/>
        <family val="2"/>
      </rPr>
      <t xml:space="preserve">首个插电光伏标准；关税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无</t>
    </r>
    <r>
      <rPr>
        <sz val="10"/>
        <rFont val="Arial"/>
        <family val="0"/>
        <charset val="1"/>
      </rPr>
      <t xml:space="preserve">UL</t>
    </r>
    <r>
      <rPr>
        <sz val="10"/>
        <rFont val="Noto Sans CJK SC"/>
        <family val="2"/>
      </rPr>
      <t xml:space="preserve">电池认证</t>
    </r>
  </si>
  <si>
    <r>
      <rPr>
        <sz val="10"/>
        <rFont val="Noto Sans CJK SC"/>
        <family val="2"/>
      </rPr>
      <t xml:space="preserve">安克</t>
    </r>
    <r>
      <rPr>
        <sz val="10"/>
        <rFont val="Arial"/>
        <family val="0"/>
        <charset val="1"/>
      </rPr>
      <t xml:space="preserve">SOLIX</t>
    </r>
    <r>
      <rPr>
        <sz val="10"/>
        <rFont val="Noto Sans CJK SC"/>
        <family val="2"/>
      </rPr>
      <t xml:space="preserve">尚未</t>
    </r>
    <r>
      <rPr>
        <sz val="10"/>
        <rFont val="Arial"/>
        <family val="0"/>
        <charset val="1"/>
      </rPr>
      <t xml:space="preserve">UL</t>
    </r>
    <r>
      <rPr>
        <sz val="10"/>
        <rFont val="Noto Sans CJK SC"/>
        <family val="2"/>
      </rPr>
      <t xml:space="preserve">认证，</t>
    </r>
    <r>
      <rPr>
        <sz val="10"/>
        <rFont val="Arial"/>
        <family val="0"/>
        <charset val="1"/>
      </rPr>
      <t xml:space="preserve">5kWh+</t>
    </r>
    <r>
      <rPr>
        <sz val="10"/>
        <rFont val="Noto Sans CJK SC"/>
        <family val="2"/>
      </rPr>
      <t xml:space="preserve">短期难入</t>
    </r>
  </si>
  <si>
    <t xml:space="preserve">中国大陆</t>
  </si>
  <si>
    <r>
      <rPr>
        <sz val="10"/>
        <rFont val="Noto Sans CJK SC"/>
        <family val="2"/>
      </rPr>
      <t xml:space="preserve">非消费级需求市场（住宅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电网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无阳台光伏政策）</t>
    </r>
  </si>
  <si>
    <t xml:space="preserve">本土为制造与供应链基地</t>
  </si>
  <si>
    <r>
      <rPr>
        <sz val="10"/>
        <rFont val="Noto Sans CJK SC"/>
        <family val="2"/>
      </rPr>
      <t xml:space="preserve">供给侧角色：电芯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整机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出口</t>
    </r>
  </si>
  <si>
    <r>
      <rPr>
        <b val="true"/>
        <sz val="12"/>
        <rFont val="Noto Sans CJK SC"/>
        <family val="2"/>
      </rPr>
      <t xml:space="preserve">品类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容量档</t>
    </r>
    <r>
      <rPr>
        <b val="true"/>
        <sz val="12"/>
        <rFont val="Arial"/>
        <family val="0"/>
        <charset val="1"/>
      </rPr>
      <t xml:space="preserve">) × </t>
    </r>
    <r>
      <rPr>
        <b val="true"/>
        <sz val="12"/>
        <rFont val="Noto Sans CJK SC"/>
        <family val="2"/>
      </rPr>
      <t xml:space="preserve">价格段 供给密度矩阵（值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Noto Sans CJK SC"/>
        <family val="2"/>
      </rPr>
      <t xml:space="preserve">相对供给密度</t>
    </r>
    <r>
      <rPr>
        <b val="true"/>
        <sz val="12"/>
        <rFont val="Arial"/>
        <family val="0"/>
        <charset val="1"/>
      </rPr>
      <t xml:space="preserve">1–5</t>
    </r>
    <r>
      <rPr>
        <b val="true"/>
        <sz val="12"/>
        <rFont val="Noto Sans CJK SC"/>
        <family val="2"/>
      </rPr>
      <t xml:space="preserve">，量级估算；</t>
    </r>
    <r>
      <rPr>
        <b val="true"/>
        <sz val="12"/>
        <rFont val="Arial"/>
        <family val="0"/>
        <charset val="1"/>
      </rPr>
      <t xml:space="preserve">0=</t>
    </r>
    <r>
      <rPr>
        <b val="true"/>
        <sz val="12"/>
        <rFont val="Noto Sans CJK SC"/>
        <family val="2"/>
      </rPr>
      <t xml:space="preserve">空白机会区）</t>
    </r>
  </si>
  <si>
    <r>
      <rPr>
        <b val="true"/>
        <sz val="10"/>
        <color rgb="FFFFFFFF"/>
        <rFont val="Noto Sans CJK SC"/>
        <family val="2"/>
      </rPr>
      <t xml:space="preserve">容量档 </t>
    </r>
    <r>
      <rPr>
        <b val="true"/>
        <sz val="10"/>
        <color rgb="FFFFFFFF"/>
        <rFont val="Arial"/>
        <family val="0"/>
        <charset val="1"/>
      </rPr>
      <t xml:space="preserve">\ </t>
    </r>
    <r>
      <rPr>
        <b val="true"/>
        <sz val="10"/>
        <color rgb="FFFFFFFF"/>
        <rFont val="Noto Sans CJK SC"/>
        <family val="2"/>
      </rPr>
      <t xml:space="preserve">价格段</t>
    </r>
  </si>
  <si>
    <t xml:space="preserve">&lt;€800</t>
  </si>
  <si>
    <t xml:space="preserve">€800–1300</t>
  </si>
  <si>
    <t xml:space="preserve">€1300–2000</t>
  </si>
  <si>
    <t xml:space="preserve">€2000–3000</t>
  </si>
  <si>
    <t xml:space="preserve">&gt;€3000</t>
  </si>
  <si>
    <r>
      <rPr>
        <b val="true"/>
        <sz val="10"/>
        <color rgb="FFFFFFFF"/>
        <rFont val="Noto Sans CJK SC"/>
        <family val="2"/>
      </rPr>
      <t xml:space="preserve">小计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型号量级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</si>
  <si>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入门 </t>
    </r>
    <r>
      <rPr>
        <sz val="10"/>
        <rFont val="Arial"/>
        <family val="0"/>
        <charset val="1"/>
      </rPr>
      <t xml:space="preserve">0.8–2 kWh</t>
    </r>
  </si>
  <si>
    <r>
      <rPr>
        <sz val="10"/>
        <rFont val="Noto Sans CJK SC"/>
        <family val="2"/>
      </rPr>
      <t xml:space="preserve">中端 </t>
    </r>
    <r>
      <rPr>
        <sz val="10"/>
        <rFont val="Arial"/>
        <family val="0"/>
        <charset val="1"/>
      </rPr>
      <t xml:space="preserve">2–3.5 kWh</t>
    </r>
  </si>
  <si>
    <r>
      <rPr>
        <sz val="10"/>
        <rFont val="Noto Sans CJK SC"/>
        <family val="2"/>
      </rPr>
      <t xml:space="preserve">大容量 </t>
    </r>
    <r>
      <rPr>
        <sz val="10"/>
        <rFont val="Arial"/>
        <family val="0"/>
        <charset val="1"/>
      </rPr>
      <t xml:space="preserve">5–7 kWh (</t>
    </r>
    <r>
      <rPr>
        <sz val="10"/>
        <rFont val="Noto Sans CJK SC"/>
        <family val="2"/>
      </rPr>
      <t xml:space="preserve">目标段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</si>
  <si>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模块化可扩展 </t>
    </r>
    <r>
      <rPr>
        <sz val="10"/>
        <rFont val="Arial"/>
        <family val="0"/>
        <charset val="1"/>
      </rPr>
      <t xml:space="preserve">10 kWh+</t>
    </r>
  </si>
  <si>
    <t xml:space="preserve">列合计</t>
  </si>
  <si>
    <r>
      <rPr>
        <i val="true"/>
        <sz val="8"/>
        <color rgb="FF666666"/>
        <rFont val="Noto Sans CJK SC"/>
        <family val="2"/>
      </rPr>
      <t xml:space="preserve">说明：中端</t>
    </r>
    <r>
      <rPr>
        <i val="true"/>
        <sz val="8"/>
        <color rgb="FF666666"/>
        <rFont val="Arial"/>
        <family val="0"/>
        <charset val="1"/>
      </rPr>
      <t xml:space="preserve">2–3.5kWh(€800–1300)</t>
    </r>
    <r>
      <rPr>
        <i val="true"/>
        <sz val="8"/>
        <color rgb="FF666666"/>
        <rFont val="Noto Sans CJK SC"/>
        <family val="2"/>
      </rPr>
      <t xml:space="preserve">为最拥挤红海；大容量</t>
    </r>
    <r>
      <rPr>
        <i val="true"/>
        <sz val="8"/>
        <color rgb="FF666666"/>
        <rFont val="Arial"/>
        <family val="0"/>
        <charset val="1"/>
      </rPr>
      <t xml:space="preserve">5–7kWh</t>
    </r>
    <r>
      <rPr>
        <i val="true"/>
        <sz val="8"/>
        <color rgb="FF666666"/>
        <rFont val="Noto Sans CJK SC"/>
        <family val="2"/>
      </rPr>
      <t xml:space="preserve">正快速填充，€</t>
    </r>
    <r>
      <rPr>
        <i val="true"/>
        <sz val="8"/>
        <color rgb="FF666666"/>
        <rFont val="Arial"/>
        <family val="0"/>
        <charset val="1"/>
      </rPr>
      <t xml:space="preserve">1300</t>
    </r>
    <r>
      <rPr>
        <i val="true"/>
        <sz val="8"/>
        <color rgb="FF666666"/>
        <rFont val="Noto Sans CJK SC"/>
        <family val="2"/>
      </rPr>
      <t xml:space="preserve">以下仅</t>
    </r>
    <r>
      <rPr>
        <i val="true"/>
        <sz val="8"/>
        <color rgb="FF666666"/>
        <rFont val="Arial"/>
        <family val="0"/>
        <charset val="1"/>
      </rPr>
      <t xml:space="preserve">Marstek</t>
    </r>
    <r>
      <rPr>
        <i val="true"/>
        <sz val="8"/>
        <color rgb="FF666666"/>
        <rFont val="Noto Sans CJK SC"/>
        <family val="2"/>
      </rPr>
      <t xml:space="preserve">独占，为品牌溢价玩家的空白</t>
    </r>
    <r>
      <rPr>
        <i val="true"/>
        <sz val="8"/>
        <color rgb="FF666666"/>
        <rFont val="Arial"/>
        <family val="0"/>
        <charset val="1"/>
      </rPr>
      <t xml:space="preserve">/</t>
    </r>
    <r>
      <rPr>
        <i val="true"/>
        <sz val="8"/>
        <color rgb="FF666666"/>
        <rFont val="Noto Sans CJK SC"/>
        <family val="2"/>
      </rPr>
      <t xml:space="preserve">机会区。</t>
    </r>
  </si>
  <si>
    <r>
      <rPr>
        <b val="true"/>
        <sz val="12"/>
        <rFont val="Noto Sans CJK SC"/>
        <family val="2"/>
      </rPr>
      <t xml:space="preserve">主要竞品对比 — 聚焦 </t>
    </r>
    <r>
      <rPr>
        <b val="true"/>
        <sz val="12"/>
        <rFont val="Arial"/>
        <family val="0"/>
        <charset val="1"/>
      </rPr>
      <t xml:space="preserve">5 kWh+ </t>
    </r>
    <r>
      <rPr>
        <b val="true"/>
        <sz val="12"/>
        <rFont val="Noto Sans CJK SC"/>
        <family val="2"/>
      </rPr>
      <t xml:space="preserve">段（</t>
    </r>
    <r>
      <rPr>
        <b val="true"/>
        <sz val="12"/>
        <rFont val="Arial"/>
        <family val="0"/>
        <charset val="1"/>
      </rPr>
      <t xml:space="preserve">2026</t>
    </r>
    <r>
      <rPr>
        <b val="true"/>
        <sz val="12"/>
        <rFont val="Noto Sans CJK SC"/>
        <family val="2"/>
      </rPr>
      <t xml:space="preserve">年德国市场参考价，部分为估算）</t>
    </r>
  </si>
  <si>
    <r>
      <rPr>
        <b val="true"/>
        <sz val="10"/>
        <color rgb="FFFFFFFF"/>
        <rFont val="Noto Sans CJK SC"/>
        <family val="2"/>
      </rPr>
      <t xml:space="preserve">品牌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型号</t>
    </r>
  </si>
  <si>
    <t xml:space="preserve">可用容量</t>
  </si>
  <si>
    <t xml:space="preserve">主机参考价€</t>
  </si>
  <si>
    <r>
      <rPr>
        <b val="true"/>
        <sz val="10"/>
        <color rgb="FFFFFFFF"/>
        <rFont val="Arial"/>
        <family val="0"/>
        <charset val="1"/>
      </rPr>
      <t xml:space="preserve">€/kWh(</t>
    </r>
    <r>
      <rPr>
        <b val="true"/>
        <sz val="10"/>
        <color rgb="FFFFFFFF"/>
        <rFont val="Noto Sans CJK SC"/>
        <family val="2"/>
      </rPr>
      <t xml:space="preserve">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</si>
  <si>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可扩展至</t>
  </si>
  <si>
    <r>
      <rPr>
        <b val="true"/>
        <sz val="10"/>
        <color rgb="FFFFFFFF"/>
        <rFont val="Arial"/>
        <family val="0"/>
        <charset val="1"/>
      </rPr>
      <t xml:space="preserve">PV</t>
    </r>
    <r>
      <rPr>
        <b val="true"/>
        <sz val="10"/>
        <color rgb="FFFFFFFF"/>
        <rFont val="Noto Sans CJK SC"/>
        <family val="2"/>
      </rPr>
      <t xml:space="preserve">输入</t>
    </r>
    <r>
      <rPr>
        <b val="true"/>
        <sz val="10"/>
        <color rgb="FFFFFFFF"/>
        <rFont val="Arial"/>
        <family val="0"/>
        <charset val="1"/>
      </rPr>
      <t xml:space="preserve">/MPPT</t>
    </r>
  </si>
  <si>
    <r>
      <rPr>
        <b val="true"/>
        <sz val="10"/>
        <color rgb="FFFFFFFF"/>
        <rFont val="Noto Sans CJK SC"/>
        <family val="2"/>
      </rPr>
      <t xml:space="preserve">逆变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输出</t>
    </r>
  </si>
  <si>
    <t xml:space="preserve">关键卖点</t>
  </si>
  <si>
    <t xml:space="preserve">备电</t>
  </si>
  <si>
    <t xml:space="preserve">上市</t>
  </si>
  <si>
    <t xml:space="preserve">Anker Solarbank 4 Pro E5000</t>
  </si>
  <si>
    <t xml:space="preserve">5 kWh</t>
  </si>
  <si>
    <t xml:space="preserve">1,999</t>
  </si>
  <si>
    <t xml:space="preserve">~400</t>
  </si>
  <si>
    <t xml:space="preserve">30 kWh</t>
  </si>
  <si>
    <t xml:space="preserve">5kW / 4 MPPT</t>
  </si>
  <si>
    <r>
      <rPr>
        <sz val="10"/>
        <rFont val="Noto Sans CJK SC"/>
        <family val="2"/>
      </rPr>
      <t xml:space="preserve">双向 </t>
    </r>
    <r>
      <rPr>
        <sz val="10"/>
        <rFont val="Arial"/>
        <family val="0"/>
        <charset val="1"/>
      </rPr>
      <t xml:space="preserve">800W(</t>
    </r>
    <r>
      <rPr>
        <sz val="10"/>
        <rFont val="Noto Sans CJK SC"/>
        <family val="2"/>
      </rPr>
      <t xml:space="preserve">升</t>
    </r>
    <r>
      <rPr>
        <sz val="10"/>
        <rFont val="Arial"/>
        <family val="0"/>
        <charset val="1"/>
      </rPr>
      <t xml:space="preserve">1200)</t>
    </r>
  </si>
  <si>
    <r>
      <rPr>
        <sz val="10"/>
        <rFont val="Arial"/>
        <family val="0"/>
        <charset val="1"/>
      </rPr>
      <t xml:space="preserve">10000</t>
    </r>
    <r>
      <rPr>
        <sz val="10"/>
        <rFont val="Noto Sans CJK SC"/>
        <family val="2"/>
      </rPr>
      <t xml:space="preserve">循环、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、动态电价、</t>
    </r>
    <r>
      <rPr>
        <sz val="10"/>
        <rFont val="Arial"/>
        <family val="0"/>
        <charset val="1"/>
      </rPr>
      <t xml:space="preserve">Matter/EEBUS</t>
    </r>
  </si>
  <si>
    <t xml:space="preserve">有</t>
  </si>
  <si>
    <t xml:space="preserve">2026.6</t>
  </si>
  <si>
    <t xml:space="preserve">Anker Solarbank Max AC</t>
  </si>
  <si>
    <t xml:space="preserve">7 kWh</t>
  </si>
  <si>
    <t xml:space="preserve">2,229</t>
  </si>
  <si>
    <t xml:space="preserve">~318</t>
  </si>
  <si>
    <t xml:space="preserve">42 kWh</t>
  </si>
  <si>
    <r>
      <rPr>
        <sz val="10"/>
        <rFont val="Arial"/>
        <family val="0"/>
        <charset val="1"/>
      </rPr>
      <t xml:space="preserve">AC</t>
    </r>
    <r>
      <rPr>
        <sz val="10"/>
        <rFont val="Noto Sans CJK SC"/>
        <family val="2"/>
      </rPr>
      <t xml:space="preserve">耦合</t>
    </r>
  </si>
  <si>
    <r>
      <rPr>
        <sz val="10"/>
        <rFont val="Noto Sans CJK SC"/>
        <family val="2"/>
      </rPr>
      <t xml:space="preserve">双向 </t>
    </r>
    <r>
      <rPr>
        <sz val="10"/>
        <rFont val="Arial"/>
        <family val="0"/>
        <charset val="1"/>
      </rPr>
      <t xml:space="preserve">3.5kW</t>
    </r>
  </si>
  <si>
    <t xml:space="preserve">有光无储改造、全屋级</t>
  </si>
  <si>
    <t xml:space="preserve">2026.4</t>
  </si>
  <si>
    <t xml:space="preserve">Anker Solarbank 3 E2700 Pro</t>
  </si>
  <si>
    <r>
      <rPr>
        <sz val="10"/>
        <rFont val="Arial"/>
        <family val="0"/>
        <charset val="1"/>
      </rPr>
      <t xml:space="preserve">2.69 kWh(2.39</t>
    </r>
    <r>
      <rPr>
        <sz val="10"/>
        <rFont val="Noto Sans CJK SC"/>
        <family val="2"/>
      </rPr>
      <t xml:space="preserve">可用</t>
    </r>
    <r>
      <rPr>
        <sz val="10"/>
        <rFont val="Arial"/>
        <family val="0"/>
        <charset val="1"/>
      </rPr>
      <t xml:space="preserve">)</t>
    </r>
  </si>
  <si>
    <t xml:space="preserve">879–1,199</t>
  </si>
  <si>
    <t xml:space="preserve">~300–480</t>
  </si>
  <si>
    <t xml:space="preserve">16 kWh</t>
  </si>
  <si>
    <t xml:space="preserve">3.6kW / 4 MPPT</t>
  </si>
  <si>
    <r>
      <rPr>
        <sz val="10"/>
        <rFont val="Noto Sans CJK SC"/>
        <family val="2"/>
      </rPr>
      <t xml:space="preserve">双向 </t>
    </r>
    <r>
      <rPr>
        <sz val="10"/>
        <rFont val="Arial"/>
        <family val="0"/>
        <charset val="1"/>
      </rPr>
      <t xml:space="preserve">800W</t>
    </r>
  </si>
  <si>
    <r>
      <rPr>
        <sz val="10"/>
        <rFont val="Noto Sans CJK SC"/>
        <family val="2"/>
      </rPr>
      <t xml:space="preserve">测评常胜、最佳</t>
    </r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年保</t>
    </r>
  </si>
  <si>
    <t xml:space="preserve">2025.4</t>
  </si>
  <si>
    <t xml:space="preserve">Marstek Venus E 3.0</t>
  </si>
  <si>
    <t xml:space="preserve">5.12 kWh</t>
  </si>
  <si>
    <t xml:space="preserve">999–1,099</t>
  </si>
  <si>
    <t xml:space="preserve">~195–215</t>
  </si>
  <si>
    <r>
      <rPr>
        <sz val="10"/>
        <rFont val="Arial"/>
        <family val="0"/>
        <charset val="1"/>
      </rPr>
      <t xml:space="preserve">—(</t>
    </r>
    <r>
      <rPr>
        <sz val="10"/>
        <rFont val="Noto Sans CJK SC"/>
        <family val="2"/>
      </rPr>
      <t xml:space="preserve">非模块</t>
    </r>
    <r>
      <rPr>
        <sz val="10"/>
        <rFont val="Arial"/>
        <family val="0"/>
        <charset val="1"/>
      </rPr>
      <t xml:space="preserve">)</t>
    </r>
  </si>
  <si>
    <t xml:space="preserve">2500W AC</t>
  </si>
  <si>
    <r>
      <rPr>
        <sz val="10"/>
        <rFont val="Noto Sans CJK SC"/>
        <family val="2"/>
      </rPr>
      <t xml:space="preserve">价格屠夫、即插即用、</t>
    </r>
    <r>
      <rPr>
        <sz val="10"/>
        <rFont val="Arial"/>
        <family val="0"/>
        <charset val="1"/>
      </rPr>
      <t xml:space="preserve">IP65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年保</t>
    </r>
  </si>
  <si>
    <r>
      <rPr>
        <sz val="10"/>
        <rFont val="Noto Sans CJK SC"/>
        <family val="2"/>
      </rPr>
      <t xml:space="preserve">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需模块</t>
    </r>
    <r>
      <rPr>
        <sz val="10"/>
        <rFont val="Arial"/>
        <family val="0"/>
        <charset val="1"/>
      </rPr>
      <t xml:space="preserve">)</t>
    </r>
  </si>
  <si>
    <t xml:space="preserve">2025</t>
  </si>
  <si>
    <t xml:space="preserve">Zendure SolarFlow 2400 Pro</t>
  </si>
  <si>
    <r>
      <rPr>
        <sz val="10"/>
        <rFont val="Arial"/>
        <family val="0"/>
        <charset val="1"/>
      </rPr>
      <t xml:space="preserve">2.4 kWh</t>
    </r>
    <r>
      <rPr>
        <sz val="10"/>
        <rFont val="Noto Sans CJK SC"/>
        <family val="2"/>
      </rPr>
      <t xml:space="preserve">起</t>
    </r>
  </si>
  <si>
    <t xml:space="preserve">949</t>
  </si>
  <si>
    <t xml:space="preserve">16.8 kWh</t>
  </si>
  <si>
    <t xml:space="preserve">3kW / 4 MPPT</t>
  </si>
  <si>
    <r>
      <rPr>
        <sz val="10"/>
        <rFont val="Noto Sans CJK SC"/>
        <family val="2"/>
      </rPr>
      <t xml:space="preserve">双向 </t>
    </r>
    <r>
      <rPr>
        <sz val="10"/>
        <rFont val="Arial"/>
        <family val="0"/>
        <charset val="1"/>
      </rPr>
      <t xml:space="preserve">2400W</t>
    </r>
  </si>
  <si>
    <r>
      <rPr>
        <sz val="10"/>
        <rFont val="Noto Sans CJK SC"/>
        <family val="2"/>
      </rPr>
      <t xml:space="preserve">最高</t>
    </r>
    <r>
      <rPr>
        <sz val="10"/>
        <rFont val="Arial"/>
        <family val="0"/>
        <charset val="1"/>
      </rPr>
      <t xml:space="preserve">WR</t>
    </r>
    <r>
      <rPr>
        <sz val="10"/>
        <rFont val="Noto Sans CJK SC"/>
        <family val="2"/>
      </rPr>
      <t xml:space="preserve">功率、动态电价、</t>
    </r>
    <r>
      <rPr>
        <sz val="10"/>
        <rFont val="Arial"/>
        <family val="0"/>
        <charset val="1"/>
      </rPr>
      <t xml:space="preserve">Home Assistant</t>
    </r>
  </si>
  <si>
    <t xml:space="preserve">部分</t>
  </si>
  <si>
    <t xml:space="preserve">2026</t>
  </si>
  <si>
    <t xml:space="preserve">EcoFlow Stream Ultra X</t>
  </si>
  <si>
    <t xml:space="preserve">3.84 kWh</t>
  </si>
  <si>
    <t xml:space="preserve">1,099–1,359</t>
  </si>
  <si>
    <t xml:space="preserve">~338</t>
  </si>
  <si>
    <t xml:space="preserve">11.52 kWh</t>
  </si>
  <si>
    <t xml:space="preserve">900W</t>
  </si>
  <si>
    <t xml:space="preserve">2300W AC(NMC)</t>
  </si>
  <si>
    <r>
      <rPr>
        <sz val="10"/>
        <rFont val="Noto Sans CJK SC"/>
        <family val="2"/>
      </rPr>
      <t xml:space="preserve">最佳</t>
    </r>
    <r>
      <rPr>
        <sz val="10"/>
        <rFont val="Arial"/>
        <family val="0"/>
        <charset val="1"/>
      </rPr>
      <t xml:space="preserve">App/</t>
    </r>
    <r>
      <rPr>
        <sz val="10"/>
        <rFont val="Noto Sans CJK SC"/>
        <family val="2"/>
      </rPr>
      <t xml:space="preserve">生态、</t>
    </r>
    <r>
      <rPr>
        <sz val="10"/>
        <rFont val="Arial"/>
        <family val="0"/>
        <charset val="1"/>
      </rPr>
      <t xml:space="preserve">Smart Plug</t>
    </r>
  </si>
  <si>
    <t xml:space="preserve">软件式</t>
  </si>
  <si>
    <t xml:space="preserve">WattCycle PIONEER</t>
  </si>
  <si>
    <t xml:space="preserve">10 kWh</t>
  </si>
  <si>
    <r>
      <rPr>
        <sz val="10"/>
        <rFont val="Arial"/>
        <family val="0"/>
        <charset val="1"/>
      </rPr>
      <t xml:space="preserve">~2,600(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</si>
  <si>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~260(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)</t>
    </r>
  </si>
  <si>
    <t xml:space="preserve">堆叠</t>
  </si>
  <si>
    <r>
      <rPr>
        <sz val="10"/>
        <rFont val="Noto Sans CJK SC"/>
        <family val="2"/>
      </rPr>
      <t xml:space="preserve">双向 </t>
    </r>
    <r>
      <rPr>
        <sz val="10"/>
        <rFont val="Arial"/>
        <family val="0"/>
        <charset val="1"/>
      </rPr>
      <t xml:space="preserve">5kW</t>
    </r>
  </si>
  <si>
    <t xml:space="preserve">容量记录、动态套利</t>
  </si>
  <si>
    <t xml:space="preserve">Growatt Noah 2000</t>
  </si>
  <si>
    <t xml:space="preserve">2 kWh</t>
  </si>
  <si>
    <t xml:space="preserve">699</t>
  </si>
  <si>
    <t xml:space="preserve">~350</t>
  </si>
  <si>
    <t xml:space="preserve">扩展</t>
  </si>
  <si>
    <t xml:space="preserve">AC</t>
  </si>
  <si>
    <t xml:space="preserve">性价比、快响应零馈电</t>
  </si>
  <si>
    <t xml:space="preserve">在售</t>
  </si>
  <si>
    <r>
      <rPr>
        <b val="true"/>
        <sz val="12"/>
        <rFont val="Noto Sans CJK SC"/>
        <family val="2"/>
      </rPr>
      <t xml:space="preserve">代表性 </t>
    </r>
    <r>
      <rPr>
        <b val="true"/>
        <sz val="12"/>
        <rFont val="Arial"/>
        <family val="0"/>
        <charset val="1"/>
      </rPr>
      <t xml:space="preserve">BOM </t>
    </r>
    <r>
      <rPr>
        <b val="true"/>
        <sz val="12"/>
        <rFont val="Noto Sans CJK SC"/>
        <family val="2"/>
      </rPr>
      <t xml:space="preserve">与单位经济 — </t>
    </r>
    <r>
      <rPr>
        <b val="true"/>
        <sz val="12"/>
        <rFont val="Arial"/>
        <family val="0"/>
        <charset val="1"/>
      </rPr>
      <t xml:space="preserve">5 kWh </t>
    </r>
    <r>
      <rPr>
        <b val="true"/>
        <sz val="12"/>
        <rFont val="Noto Sans CJK SC"/>
        <family val="2"/>
      </rPr>
      <t xml:space="preserve">阳台储能一体机（成本为量级估算，仅示意结构）</t>
    </r>
  </si>
  <si>
    <r>
      <rPr>
        <b val="true"/>
        <sz val="10"/>
        <color rgb="FFFFFFFF"/>
        <rFont val="Noto Sans CJK SC"/>
        <family val="2"/>
      </rPr>
      <t xml:space="preserve">物料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环节</t>
    </r>
  </si>
  <si>
    <t xml:space="preserve">主流方案</t>
  </si>
  <si>
    <r>
      <rPr>
        <b val="true"/>
        <sz val="10"/>
        <color rgb="FFFFFFFF"/>
        <rFont val="Noto Sans CJK SC"/>
        <family val="2"/>
      </rPr>
      <t xml:space="preserve">成本估算</t>
    </r>
    <r>
      <rPr>
        <b val="true"/>
        <sz val="10"/>
        <color rgb="FFFFFFFF"/>
        <rFont val="Arial"/>
        <family val="0"/>
        <charset val="1"/>
      </rPr>
      <t xml:space="preserve">(US$)</t>
    </r>
  </si>
  <si>
    <t xml:space="preserve">主要供应商</t>
  </si>
  <si>
    <r>
      <rPr>
        <b val="true"/>
        <sz val="10"/>
        <color rgb="FFFFFFFF"/>
        <rFont val="Noto Sans CJK SC"/>
        <family val="2"/>
      </rPr>
      <t xml:space="preserve">国产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进口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对中国厂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</si>
  <si>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— BOM </t>
    </r>
    <r>
      <rPr>
        <b val="true"/>
        <sz val="10"/>
        <rFont val="Noto Sans CJK SC"/>
        <family val="2"/>
      </rPr>
      <t xml:space="preserve">明细 —</t>
    </r>
  </si>
  <si>
    <r>
      <rPr>
        <sz val="10"/>
        <rFont val="Arial"/>
        <family val="0"/>
        <charset val="1"/>
      </rPr>
      <t xml:space="preserve">LFP</t>
    </r>
    <r>
      <rPr>
        <sz val="10"/>
        <rFont val="Noto Sans CJK SC"/>
        <family val="2"/>
      </rPr>
      <t xml:space="preserve">电芯 </t>
    </r>
    <r>
      <rPr>
        <sz val="10"/>
        <rFont val="Arial"/>
        <family val="0"/>
        <charset val="1"/>
      </rPr>
      <t xml:space="preserve">5kWh</t>
    </r>
  </si>
  <si>
    <r>
      <rPr>
        <sz val="10"/>
        <rFont val="Arial"/>
        <family val="0"/>
        <charset val="1"/>
      </rPr>
      <t xml:space="preserve">LiFePO4 6000–10000</t>
    </r>
    <r>
      <rPr>
        <sz val="10"/>
        <rFont val="Noto Sans CJK SC"/>
        <family val="2"/>
      </rPr>
      <t xml:space="preserve">循环</t>
    </r>
  </si>
  <si>
    <t xml:space="preserve">250 – 350</t>
  </si>
  <si>
    <r>
      <rPr>
        <sz val="10"/>
        <rFont val="Arial"/>
        <family val="0"/>
        <charset val="1"/>
      </rPr>
      <t xml:space="preserve">CATL / EVE / </t>
    </r>
    <r>
      <rPr>
        <sz val="10"/>
        <rFont val="Noto Sans CJK SC"/>
        <family val="2"/>
      </rPr>
      <t xml:space="preserve">亿纬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瑞浦</t>
    </r>
  </si>
  <si>
    <t xml:space="preserve">国产</t>
  </si>
  <si>
    <r>
      <rPr>
        <sz val="10"/>
        <rFont val="Noto Sans CJK SC"/>
        <family val="2"/>
      </rPr>
      <t xml:space="preserve">电芯</t>
    </r>
    <r>
      <rPr>
        <sz val="10"/>
        <rFont val="Arial"/>
        <family val="0"/>
        <charset val="1"/>
      </rPr>
      <t xml:space="preserve">$50–70/kWh(2025–26)</t>
    </r>
  </si>
  <si>
    <t xml:space="preserve">BMS</t>
  </si>
  <si>
    <t xml:space="preserve">多串主动均衡</t>
  </si>
  <si>
    <t xml:space="preserve">20 – 40</t>
  </si>
  <si>
    <t xml:space="preserve">国产方案</t>
  </si>
  <si>
    <r>
      <rPr>
        <sz val="10"/>
        <rFont val="Noto Sans CJK SC"/>
        <family val="2"/>
      </rPr>
      <t xml:space="preserve">含均衡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保护</t>
    </r>
  </si>
  <si>
    <t xml:space="preserve">双向逆变器</t>
  </si>
  <si>
    <r>
      <rPr>
        <sz val="10"/>
        <rFont val="Arial"/>
        <family val="0"/>
        <charset val="1"/>
      </rPr>
      <t xml:space="preserve">800W–3.5kW </t>
    </r>
    <r>
      <rPr>
        <sz val="10"/>
        <rFont val="Noto Sans CJK SC"/>
        <family val="2"/>
      </rPr>
      <t xml:space="preserve">双向</t>
    </r>
  </si>
  <si>
    <t xml:space="preserve">60 – 120</t>
  </si>
  <si>
    <r>
      <rPr>
        <sz val="10"/>
        <rFont val="Noto Sans CJK SC"/>
        <family val="2"/>
      </rPr>
      <t xml:space="preserve">自研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国产</t>
    </r>
  </si>
  <si>
    <r>
      <rPr>
        <sz val="10"/>
        <rFont val="Noto Sans CJK SC"/>
        <family val="2"/>
      </rPr>
      <t xml:space="preserve">高功率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多</t>
    </r>
    <r>
      <rPr>
        <sz val="10"/>
        <rFont val="Arial"/>
        <family val="0"/>
        <charset val="1"/>
      </rPr>
      <t xml:space="preserve">MPPT</t>
    </r>
    <r>
      <rPr>
        <sz val="10"/>
        <rFont val="Noto Sans CJK SC"/>
        <family val="2"/>
      </rPr>
      <t xml:space="preserve">成本更高</t>
    </r>
  </si>
  <si>
    <r>
      <rPr>
        <sz val="10"/>
        <rFont val="Arial"/>
        <family val="0"/>
        <charset val="1"/>
      </rPr>
      <t xml:space="preserve">MPPT</t>
    </r>
    <r>
      <rPr>
        <sz val="10"/>
        <rFont val="Noto Sans CJK SC"/>
        <family val="2"/>
      </rPr>
      <t xml:space="preserve">充电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路</t>
    </r>
    <r>
      <rPr>
        <sz val="10"/>
        <rFont val="Arial"/>
        <family val="0"/>
        <charset val="1"/>
      </rPr>
      <t xml:space="preserve">)</t>
    </r>
  </si>
  <si>
    <t xml:space="preserve">4×MPP tracker</t>
  </si>
  <si>
    <t xml:space="preserve">25 – 45</t>
  </si>
  <si>
    <r>
      <rPr>
        <sz val="10"/>
        <rFont val="Noto Sans CJK SC"/>
        <family val="2"/>
      </rPr>
      <t xml:space="preserve">遮挡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多朝向优化</t>
    </r>
  </si>
  <si>
    <r>
      <rPr>
        <sz val="10"/>
        <rFont val="Noto Sans CJK SC"/>
        <family val="2"/>
      </rPr>
      <t xml:space="preserve">外壳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结构</t>
    </r>
  </si>
  <si>
    <r>
      <rPr>
        <sz val="10"/>
        <rFont val="Arial"/>
        <family val="0"/>
        <charset val="1"/>
      </rPr>
      <t xml:space="preserve">IP65/67+</t>
    </r>
    <r>
      <rPr>
        <sz val="10"/>
        <rFont val="Noto Sans CJK SC"/>
        <family val="2"/>
      </rPr>
      <t xml:space="preserve">散热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低温加热</t>
    </r>
  </si>
  <si>
    <t xml:space="preserve">30 – 55</t>
  </si>
  <si>
    <r>
      <rPr>
        <sz val="10"/>
        <rFont val="Noto Sans CJK SC"/>
        <family val="2"/>
      </rPr>
      <t xml:space="preserve">户外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冬季加热件</t>
    </r>
  </si>
  <si>
    <r>
      <rPr>
        <sz val="10"/>
        <rFont val="Noto Sans CJK SC"/>
        <family val="2"/>
      </rPr>
      <t xml:space="preserve">控制板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连接</t>
    </r>
  </si>
  <si>
    <t xml:space="preserve">MCU+WiFi/BT+MC4</t>
  </si>
  <si>
    <t xml:space="preserve">含通信模组</t>
  </si>
  <si>
    <r>
      <rPr>
        <sz val="10"/>
        <rFont val="Noto Sans CJK SC"/>
        <family val="2"/>
      </rPr>
      <t xml:space="preserve">软件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云</t>
    </r>
    <r>
      <rPr>
        <sz val="10"/>
        <rFont val="Arial"/>
        <family val="0"/>
        <charset val="1"/>
      </rPr>
      <t xml:space="preserve">/AI</t>
    </r>
  </si>
  <si>
    <r>
      <rPr>
        <sz val="10"/>
        <rFont val="Arial"/>
        <family val="0"/>
        <charset val="1"/>
      </rPr>
      <t xml:space="preserve">App+EMS+</t>
    </r>
    <r>
      <rPr>
        <sz val="10"/>
        <rFont val="Noto Sans CJK SC"/>
        <family val="2"/>
      </rPr>
      <t xml:space="preserve">云</t>
    </r>
  </si>
  <si>
    <t xml:space="preserve">10 – 25</t>
  </si>
  <si>
    <t xml:space="preserve">自研</t>
  </si>
  <si>
    <t xml:space="preserve">摊销口径</t>
  </si>
  <si>
    <r>
      <rPr>
        <sz val="10"/>
        <rFont val="Noto Sans CJK SC"/>
        <family val="2"/>
      </rPr>
      <t xml:space="preserve">单位经济测算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以</t>
    </r>
    <r>
      <rPr>
        <sz val="10"/>
        <rFont val="Arial"/>
        <family val="0"/>
        <charset val="1"/>
      </rPr>
      <t xml:space="preserve">Anker Solarbank 4 Pro E5000</t>
    </r>
    <r>
      <rPr>
        <sz val="10"/>
        <rFont val="Noto Sans CJK SC"/>
        <family val="2"/>
      </rPr>
      <t xml:space="preserve">为例</t>
    </r>
    <r>
      <rPr>
        <sz val="10"/>
        <rFont val="Arial"/>
        <family val="0"/>
        <charset val="1"/>
      </rPr>
      <t xml:space="preserve">)</t>
    </r>
  </si>
  <si>
    <t xml:space="preserve">值</t>
  </si>
  <si>
    <r>
      <rPr>
        <sz val="10"/>
        <rFont val="Noto Sans CJK SC"/>
        <family val="2"/>
      </rPr>
      <t xml:space="preserve">口径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假设</t>
    </r>
  </si>
  <si>
    <r>
      <rPr>
        <sz val="10"/>
        <rFont val="Arial"/>
        <family val="0"/>
        <charset val="1"/>
      </rPr>
      <t xml:space="preserve">BOM </t>
    </r>
    <r>
      <rPr>
        <sz val="10"/>
        <rFont val="Noto Sans CJK SC"/>
        <family val="2"/>
      </rPr>
      <t xml:space="preserve">成本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区间中值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</si>
  <si>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上表各项中值加总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约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</si>
  <si>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制造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良率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组装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加</t>
    </r>
    <r>
      <rPr>
        <sz val="10"/>
        <rFont val="Arial"/>
        <family val="0"/>
        <charset val="1"/>
      </rPr>
      <t xml:space="preserve">~20%)</t>
    </r>
  </si>
  <si>
    <t xml:space="preserve">估</t>
  </si>
  <si>
    <r>
      <rPr>
        <sz val="10"/>
        <rFont val="Noto Sans CJK SC"/>
        <family val="2"/>
      </rPr>
      <t xml:space="preserve">出厂成本 </t>
    </r>
    <r>
      <rPr>
        <sz val="10"/>
        <rFont val="Arial"/>
        <family val="0"/>
        <charset val="1"/>
      </rPr>
      <t xml:space="preserve">COGS</t>
    </r>
  </si>
  <si>
    <r>
      <rPr>
        <sz val="10"/>
        <rFont val="Arial"/>
        <family val="0"/>
        <charset val="1"/>
      </rPr>
      <t xml:space="preserve">BOM+</t>
    </r>
    <r>
      <rPr>
        <sz val="10"/>
        <rFont val="Noto Sans CJK SC"/>
        <family val="2"/>
      </rPr>
      <t xml:space="preserve">制造</t>
    </r>
  </si>
  <si>
    <r>
      <rPr>
        <sz val="10"/>
        <rFont val="Noto Sans CJK SC"/>
        <family val="2"/>
      </rPr>
      <t xml:space="preserve">终端零售价</t>
    </r>
    <r>
      <rPr>
        <sz val="10"/>
        <rFont val="Arial"/>
        <family val="0"/>
        <charset val="1"/>
      </rPr>
      <t xml:space="preserve">(DTC,</t>
    </r>
    <r>
      <rPr>
        <sz val="10"/>
        <rFont val="Noto Sans CJK SC"/>
        <family val="2"/>
      </rPr>
      <t xml:space="preserve">德国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</si>
  <si>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€1,999≈US$2,150(DTC</t>
    </r>
    <r>
      <rPr>
        <sz val="10"/>
        <rFont val="Noto Sans CJK SC"/>
        <family val="2"/>
      </rPr>
      <t xml:space="preserve">自营口径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</si>
  <si>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产品毛利率 </t>
    </r>
    <r>
      <rPr>
        <sz val="10"/>
        <rFont val="Arial"/>
        <family val="0"/>
        <charset val="1"/>
      </rPr>
      <t xml:space="preserve">= (</t>
    </r>
    <r>
      <rPr>
        <sz val="10"/>
        <rFont val="Noto Sans CJK SC"/>
        <family val="2"/>
      </rPr>
      <t xml:space="preserve">零售−</t>
    </r>
    <r>
      <rPr>
        <sz val="10"/>
        <rFont val="Arial"/>
        <family val="0"/>
        <charset val="1"/>
      </rPr>
      <t xml:space="preserve">COGS)/</t>
    </r>
    <r>
      <rPr>
        <sz val="10"/>
        <rFont val="Noto Sans CJK SC"/>
        <family val="2"/>
      </rPr>
      <t xml:space="preserve">零售</t>
    </r>
  </si>
  <si>
    <r>
      <rPr>
        <sz val="10"/>
        <rFont val="Noto Sans CJK SC"/>
        <family val="2"/>
      </rPr>
      <t xml:space="preserve">仅扣</t>
    </r>
    <r>
      <rPr>
        <sz val="10"/>
        <rFont val="Arial"/>
        <family val="0"/>
        <charset val="1"/>
      </rPr>
      <t xml:space="preserve">COGS</t>
    </r>
    <r>
      <rPr>
        <sz val="10"/>
        <rFont val="Noto Sans CJK SC"/>
        <family val="2"/>
      </rPr>
      <t xml:space="preserve">，未扣渠道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营销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物流</t>
    </r>
  </si>
  <si>
    <r>
      <rPr>
        <sz val="10"/>
        <rFont val="Noto Sans CJK SC"/>
        <family val="2"/>
      </rPr>
      <t xml:space="preserve">渠道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营销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物流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~28%</t>
    </r>
    <r>
      <rPr>
        <sz val="10"/>
        <rFont val="Noto Sans CJK SC"/>
        <family val="2"/>
      </rPr>
      <t xml:space="preserve">零售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</si>
  <si>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独立站</t>
    </r>
    <r>
      <rPr>
        <sz val="10"/>
        <rFont val="Arial"/>
        <family val="0"/>
        <charset val="1"/>
      </rPr>
      <t xml:space="preserve">/Amazon</t>
    </r>
    <r>
      <rPr>
        <sz val="10"/>
        <rFont val="Noto Sans CJK SC"/>
        <family val="2"/>
      </rPr>
      <t xml:space="preserve">混合口径估</t>
    </r>
  </si>
  <si>
    <r>
      <rPr>
        <sz val="10"/>
        <rFont val="Noto Sans CJK SC"/>
        <family val="2"/>
      </rPr>
      <t xml:space="preserve">经营利润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</si>
  <si>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经营利润率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估</t>
    </r>
    <r>
      <rPr>
        <sz val="10"/>
        <rFont val="Arial"/>
        <family val="0"/>
        <charset val="1"/>
      </rPr>
      <t xml:space="preserve">)</t>
    </r>
  </si>
  <si>
    <t xml:space="preserve">远低于毛利率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</si>
</sst>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US$ &quot;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i val="true"/>
      <sz val="8"/>
      <color rgb="FF666666"/>
      <name val="Noto Sans CJK SC"/>
      <family val="2"/>
    </font>
    <font>
      <i val="true"/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2B7BBA"/>
        <bgColor rgb="FF0066CC"/>
      </patternFill>
    </fill>
    <fill>
      <patternFill patternType="solid">
        <fgColor rgb="FFFFF2CC"/>
        <bgColor rgb="FFFDE3D3"/>
      </patternFill>
    </fill>
    <fill>
      <patternFill patternType="solid">
        <fgColor rgb="FFFDE3D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3D3"/>
      <rgbColor rgb="FF2B7BBA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5" min="5" style="0" width="10"/>
    <col collapsed="false" customWidth="true" hidden="false" outlineLevel="0" max="6" min="6" style="0" width="34"/>
  </cols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26.85" hidden="false" customHeight="false" outlineLevel="0" collapsed="false">
      <c r="A4" s="3" t="s">
        <v>7</v>
      </c>
      <c r="B4" s="4" t="s">
        <v>8</v>
      </c>
      <c r="C4" s="4" t="s">
        <v>9</v>
      </c>
      <c r="D4" s="4" t="s">
        <v>10</v>
      </c>
      <c r="E4" s="3" t="s">
        <v>11</v>
      </c>
      <c r="F4" s="3" t="s">
        <v>12</v>
      </c>
    </row>
    <row r="5" customFormat="false" ht="15" hidden="false" customHeight="false" outlineLevel="0" collapsed="false">
      <c r="A5" s="5" t="s">
        <v>13</v>
      </c>
      <c r="B5" s="6" t="s">
        <v>14</v>
      </c>
      <c r="C5" s="6" t="s">
        <v>15</v>
      </c>
      <c r="D5" s="5" t="s">
        <v>16</v>
      </c>
      <c r="E5" s="5" t="s">
        <v>11</v>
      </c>
      <c r="F5" s="5" t="s">
        <v>17</v>
      </c>
    </row>
    <row r="6" customFormat="false" ht="15" hidden="false" customHeight="false" outlineLevel="0" collapsed="false">
      <c r="A6" s="5" t="s">
        <v>18</v>
      </c>
      <c r="B6" s="6" t="s">
        <v>19</v>
      </c>
      <c r="C6" s="5" t="s">
        <v>20</v>
      </c>
      <c r="D6" s="6" t="s">
        <v>21</v>
      </c>
      <c r="E6" s="5" t="s">
        <v>22</v>
      </c>
      <c r="F6" s="5" t="s">
        <v>23</v>
      </c>
    </row>
    <row r="7" customFormat="false" ht="15" hidden="false" customHeight="false" outlineLevel="0" collapsed="false">
      <c r="A7" s="3" t="s">
        <v>24</v>
      </c>
      <c r="B7" s="4" t="s">
        <v>25</v>
      </c>
      <c r="C7" s="4" t="s">
        <v>26</v>
      </c>
      <c r="D7" s="4" t="s">
        <v>27</v>
      </c>
      <c r="E7" s="3" t="s">
        <v>28</v>
      </c>
      <c r="F7" s="3" t="s">
        <v>29</v>
      </c>
    </row>
    <row r="8" customFormat="false" ht="26.85" hidden="false" customHeight="false" outlineLevel="0" collapsed="false">
      <c r="A8" s="3" t="s">
        <v>30</v>
      </c>
      <c r="B8" s="4" t="s">
        <v>15</v>
      </c>
      <c r="C8" s="4" t="s">
        <v>31</v>
      </c>
      <c r="D8" s="3" t="s">
        <v>32</v>
      </c>
      <c r="E8" s="3" t="s">
        <v>28</v>
      </c>
      <c r="F8" s="4" t="s">
        <v>33</v>
      </c>
    </row>
    <row r="9" customFormat="false" ht="29.85" hidden="false" customHeight="false" outlineLevel="0" collapsed="false">
      <c r="A9" s="3" t="s">
        <v>34</v>
      </c>
      <c r="B9" s="4" t="s">
        <v>35</v>
      </c>
      <c r="C9" s="3" t="s">
        <v>36</v>
      </c>
      <c r="D9" s="4" t="s">
        <v>37</v>
      </c>
      <c r="E9" s="3" t="s">
        <v>28</v>
      </c>
      <c r="F9" s="3" t="s">
        <v>38</v>
      </c>
    </row>
    <row r="10" customFormat="false" ht="15" hidden="false" customHeight="false" outlineLevel="0" collapsed="false">
      <c r="A10" s="3" t="s">
        <v>39</v>
      </c>
      <c r="B10" s="4" t="s">
        <v>40</v>
      </c>
      <c r="C10" s="4" t="s">
        <v>15</v>
      </c>
      <c r="D10" s="3" t="s">
        <v>41</v>
      </c>
      <c r="E10" s="3" t="s">
        <v>22</v>
      </c>
      <c r="F10" s="4" t="s">
        <v>42</v>
      </c>
    </row>
    <row r="11" customFormat="false" ht="15" hidden="false" customHeight="false" outlineLevel="0" collapsed="false">
      <c r="A11" s="3" t="s">
        <v>43</v>
      </c>
      <c r="B11" s="4" t="s">
        <v>44</v>
      </c>
      <c r="C11" s="4" t="s">
        <v>45</v>
      </c>
      <c r="D11" s="3" t="s">
        <v>46</v>
      </c>
      <c r="E11" s="3" t="s">
        <v>22</v>
      </c>
      <c r="F11" s="3" t="s">
        <v>47</v>
      </c>
    </row>
    <row r="12" customFormat="false" ht="15" hidden="false" customHeight="false" outlineLevel="0" collapsed="false">
      <c r="A12" s="3" t="s">
        <v>48</v>
      </c>
      <c r="B12" s="4" t="s">
        <v>49</v>
      </c>
      <c r="C12" s="4" t="s">
        <v>50</v>
      </c>
      <c r="D12" s="3" t="s">
        <v>51</v>
      </c>
      <c r="E12" s="3" t="s">
        <v>22</v>
      </c>
      <c r="F12" s="3" t="s">
        <v>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53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</v>
      </c>
    </row>
    <row r="4" customFormat="false" ht="44" hidden="false" customHeight="false" outlineLevel="0" collapsed="false">
      <c r="A4" s="3" t="s">
        <v>59</v>
      </c>
      <c r="B4" s="3" t="s">
        <v>60</v>
      </c>
      <c r="C4" s="4" t="s">
        <v>61</v>
      </c>
      <c r="D4" s="4" t="s">
        <v>62</v>
      </c>
      <c r="E4" s="3" t="s">
        <v>63</v>
      </c>
      <c r="F4" s="3" t="s">
        <v>22</v>
      </c>
    </row>
    <row r="5" customFormat="false" ht="29.85" hidden="false" customHeight="false" outlineLevel="0" collapsed="false">
      <c r="A5" s="3" t="s">
        <v>64</v>
      </c>
      <c r="B5" s="3" t="s">
        <v>65</v>
      </c>
      <c r="C5" s="4" t="s">
        <v>66</v>
      </c>
      <c r="D5" s="3" t="s">
        <v>67</v>
      </c>
      <c r="E5" s="3" t="s">
        <v>68</v>
      </c>
      <c r="F5" s="3" t="s">
        <v>28</v>
      </c>
    </row>
    <row r="6" customFormat="false" ht="26.85" hidden="false" customHeight="false" outlineLevel="0" collapsed="false">
      <c r="A6" s="3" t="s">
        <v>69</v>
      </c>
      <c r="B6" s="4" t="s">
        <v>70</v>
      </c>
      <c r="C6" s="3" t="s">
        <v>71</v>
      </c>
      <c r="D6" s="3" t="s">
        <v>72</v>
      </c>
      <c r="E6" s="3" t="s">
        <v>73</v>
      </c>
      <c r="F6" s="3" t="s">
        <v>28</v>
      </c>
    </row>
    <row r="7" customFormat="false" ht="29.85" hidden="false" customHeight="false" outlineLevel="0" collapsed="false">
      <c r="A7" s="3" t="s">
        <v>74</v>
      </c>
      <c r="B7" s="4" t="s">
        <v>75</v>
      </c>
      <c r="C7" s="3" t="s">
        <v>76</v>
      </c>
      <c r="D7" s="4" t="s">
        <v>77</v>
      </c>
      <c r="E7" s="3" t="s">
        <v>78</v>
      </c>
      <c r="F7" s="3" t="s">
        <v>28</v>
      </c>
    </row>
    <row r="8" customFormat="false" ht="29.85" hidden="false" customHeight="false" outlineLevel="0" collapsed="false">
      <c r="A8" s="3" t="s">
        <v>79</v>
      </c>
      <c r="B8" s="3" t="s">
        <v>80</v>
      </c>
      <c r="C8" s="3" t="s">
        <v>81</v>
      </c>
      <c r="D8" s="3" t="s">
        <v>82</v>
      </c>
      <c r="E8" s="3" t="s">
        <v>83</v>
      </c>
      <c r="F8" s="3" t="s">
        <v>11</v>
      </c>
    </row>
    <row r="9" customFormat="false" ht="29.85" hidden="false" customHeight="false" outlineLevel="0" collapsed="false">
      <c r="A9" s="3" t="s">
        <v>84</v>
      </c>
      <c r="B9" s="3" t="s">
        <v>85</v>
      </c>
      <c r="C9" s="4" t="s">
        <v>86</v>
      </c>
      <c r="D9" s="4" t="s">
        <v>87</v>
      </c>
      <c r="E9" s="3" t="s">
        <v>88</v>
      </c>
      <c r="F9" s="3" t="s">
        <v>28</v>
      </c>
    </row>
    <row r="10" customFormat="false" ht="29.85" hidden="false" customHeight="false" outlineLevel="0" collapsed="false">
      <c r="A10" s="3" t="s">
        <v>89</v>
      </c>
      <c r="B10" s="3" t="s">
        <v>90</v>
      </c>
      <c r="C10" s="4" t="s">
        <v>15</v>
      </c>
      <c r="D10" s="3" t="s">
        <v>91</v>
      </c>
      <c r="E10" s="3" t="s">
        <v>92</v>
      </c>
      <c r="F10" s="3" t="s">
        <v>22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9.4" hidden="false" customHeight="false" outlineLevel="0" collapsed="false">
      <c r="A1" s="1" t="s">
        <v>93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94</v>
      </c>
      <c r="B3" s="7" t="s">
        <v>95</v>
      </c>
      <c r="C3" s="7" t="s">
        <v>96</v>
      </c>
      <c r="D3" s="7" t="s">
        <v>97</v>
      </c>
      <c r="E3" s="7" t="s">
        <v>98</v>
      </c>
      <c r="F3" s="7" t="s">
        <v>99</v>
      </c>
      <c r="G3" s="2" t="s">
        <v>100</v>
      </c>
    </row>
    <row r="4" customFormat="false" ht="15" hidden="false" customHeight="false" outlineLevel="0" collapsed="false">
      <c r="A4" s="3" t="s">
        <v>101</v>
      </c>
      <c r="B4" s="3" t="n">
        <v>4</v>
      </c>
      <c r="C4" s="3" t="n">
        <v>3</v>
      </c>
      <c r="D4" s="3" t="n">
        <v>0</v>
      </c>
      <c r="E4" s="3" t="n">
        <v>0</v>
      </c>
      <c r="F4" s="3" t="n">
        <v>0</v>
      </c>
      <c r="G4" s="3" t="n">
        <f aca="false">SUM(B4:F4)</f>
        <v>7</v>
      </c>
    </row>
    <row r="5" customFormat="false" ht="15" hidden="false" customHeight="false" outlineLevel="0" collapsed="false">
      <c r="A5" s="3" t="s">
        <v>102</v>
      </c>
      <c r="B5" s="3" t="n">
        <v>2</v>
      </c>
      <c r="C5" s="3" t="n">
        <v>5</v>
      </c>
      <c r="D5" s="3" t="n">
        <v>3</v>
      </c>
      <c r="E5" s="3" t="n">
        <v>0</v>
      </c>
      <c r="F5" s="3" t="n">
        <v>0</v>
      </c>
      <c r="G5" s="3" t="n">
        <f aca="false">SUM(B5:F5)</f>
        <v>10</v>
      </c>
    </row>
    <row r="6" customFormat="false" ht="15" hidden="false" customHeight="false" outlineLevel="0" collapsed="false">
      <c r="A6" s="8" t="s">
        <v>103</v>
      </c>
      <c r="B6" s="8" t="n">
        <v>0</v>
      </c>
      <c r="C6" s="8" t="n">
        <v>2</v>
      </c>
      <c r="D6" s="8" t="n">
        <v>4</v>
      </c>
      <c r="E6" s="8" t="n">
        <v>2</v>
      </c>
      <c r="F6" s="8" t="n">
        <v>0</v>
      </c>
      <c r="G6" s="8" t="n">
        <f aca="false">SUM(B6:F6)</f>
        <v>8</v>
      </c>
    </row>
    <row r="7" customFormat="false" ht="15" hidden="false" customHeight="false" outlineLevel="0" collapsed="false">
      <c r="A7" s="3" t="s">
        <v>104</v>
      </c>
      <c r="B7" s="3" t="n">
        <v>0</v>
      </c>
      <c r="C7" s="3" t="n">
        <v>0</v>
      </c>
      <c r="D7" s="3" t="n">
        <v>1</v>
      </c>
      <c r="E7" s="3" t="n">
        <v>3</v>
      </c>
      <c r="F7" s="3" t="n">
        <v>3</v>
      </c>
      <c r="G7" s="3" t="n">
        <f aca="false">SUM(B7:F7)</f>
        <v>7</v>
      </c>
    </row>
    <row r="8" customFormat="false" ht="15" hidden="false" customHeight="false" outlineLevel="0" collapsed="false">
      <c r="A8" s="3" t="s">
        <v>105</v>
      </c>
      <c r="B8" s="3" t="n">
        <f aca="false">SUM(B4:B7)</f>
        <v>6</v>
      </c>
      <c r="C8" s="3" t="n">
        <f aca="false">SUM(C4:C7)</f>
        <v>10</v>
      </c>
      <c r="D8" s="3" t="n">
        <f aca="false">SUM(D4:D7)</f>
        <v>8</v>
      </c>
      <c r="E8" s="3" t="n">
        <f aca="false">SUM(E4:E7)</f>
        <v>5</v>
      </c>
      <c r="F8" s="3" t="n">
        <f aca="false">SUM(F4:F7)</f>
        <v>3</v>
      </c>
      <c r="G8" s="3" t="n">
        <f aca="false">SUM(G4:G7)</f>
        <v>32</v>
      </c>
    </row>
    <row r="10" customFormat="false" ht="15" hidden="false" customHeight="false" outlineLevel="0" collapsed="false">
      <c r="A10" s="9" t="s">
        <v>106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9.4" hidden="false" customHeight="fals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108</v>
      </c>
      <c r="B3" s="2" t="s">
        <v>109</v>
      </c>
      <c r="C3" s="2" t="s">
        <v>110</v>
      </c>
      <c r="D3" s="7" t="s">
        <v>111</v>
      </c>
      <c r="E3" s="2" t="s">
        <v>112</v>
      </c>
      <c r="F3" s="7" t="s">
        <v>113</v>
      </c>
      <c r="G3" s="2" t="s">
        <v>114</v>
      </c>
      <c r="H3" s="2" t="s">
        <v>115</v>
      </c>
      <c r="I3" s="2" t="s">
        <v>116</v>
      </c>
      <c r="J3" s="2" t="s">
        <v>117</v>
      </c>
    </row>
    <row r="4" customFormat="false" ht="29.85" hidden="false" customHeight="false" outlineLevel="0" collapsed="false">
      <c r="A4" s="10" t="s">
        <v>118</v>
      </c>
      <c r="B4" s="10" t="s">
        <v>119</v>
      </c>
      <c r="C4" s="10" t="s">
        <v>120</v>
      </c>
      <c r="D4" s="10" t="s">
        <v>121</v>
      </c>
      <c r="E4" s="10" t="s">
        <v>122</v>
      </c>
      <c r="F4" s="10" t="s">
        <v>123</v>
      </c>
      <c r="G4" s="8" t="s">
        <v>124</v>
      </c>
      <c r="H4" s="10" t="s">
        <v>125</v>
      </c>
      <c r="I4" s="8" t="s">
        <v>126</v>
      </c>
      <c r="J4" s="10" t="s">
        <v>127</v>
      </c>
    </row>
    <row r="5" customFormat="false" ht="15" hidden="false" customHeight="false" outlineLevel="0" collapsed="false">
      <c r="A5" s="10" t="s">
        <v>128</v>
      </c>
      <c r="B5" s="10" t="s">
        <v>129</v>
      </c>
      <c r="C5" s="10" t="s">
        <v>130</v>
      </c>
      <c r="D5" s="10" t="s">
        <v>131</v>
      </c>
      <c r="E5" s="10" t="s">
        <v>132</v>
      </c>
      <c r="F5" s="10" t="s">
        <v>133</v>
      </c>
      <c r="G5" s="8" t="s">
        <v>134</v>
      </c>
      <c r="H5" s="8" t="s">
        <v>135</v>
      </c>
      <c r="I5" s="8" t="s">
        <v>126</v>
      </c>
      <c r="J5" s="10" t="s">
        <v>136</v>
      </c>
    </row>
    <row r="6" customFormat="false" ht="26.85" hidden="false" customHeight="false" outlineLevel="0" collapsed="false">
      <c r="A6" s="4" t="s">
        <v>137</v>
      </c>
      <c r="B6" s="4" t="s">
        <v>138</v>
      </c>
      <c r="C6" s="4" t="s">
        <v>139</v>
      </c>
      <c r="D6" s="4" t="s">
        <v>140</v>
      </c>
      <c r="E6" s="4" t="s">
        <v>141</v>
      </c>
      <c r="F6" s="4" t="s">
        <v>142</v>
      </c>
      <c r="G6" s="3" t="s">
        <v>143</v>
      </c>
      <c r="H6" s="3" t="s">
        <v>144</v>
      </c>
      <c r="I6" s="3" t="s">
        <v>126</v>
      </c>
      <c r="J6" s="4" t="s">
        <v>145</v>
      </c>
    </row>
    <row r="7" customFormat="false" ht="15" hidden="false" customHeight="false" outlineLevel="0" collapsed="false">
      <c r="A7" s="4" t="s">
        <v>146</v>
      </c>
      <c r="B7" s="4" t="s">
        <v>147</v>
      </c>
      <c r="C7" s="4" t="s">
        <v>148</v>
      </c>
      <c r="D7" s="4" t="s">
        <v>149</v>
      </c>
      <c r="E7" s="4" t="s">
        <v>150</v>
      </c>
      <c r="F7" s="4" t="s">
        <v>15</v>
      </c>
      <c r="G7" s="4" t="s">
        <v>151</v>
      </c>
      <c r="H7" s="3" t="s">
        <v>152</v>
      </c>
      <c r="I7" s="3" t="s">
        <v>153</v>
      </c>
      <c r="J7" s="4" t="s">
        <v>154</v>
      </c>
    </row>
    <row r="8" customFormat="false" ht="26.85" hidden="false" customHeight="false" outlineLevel="0" collapsed="false">
      <c r="A8" s="4" t="s">
        <v>155</v>
      </c>
      <c r="B8" s="4" t="s">
        <v>156</v>
      </c>
      <c r="C8" s="4" t="s">
        <v>157</v>
      </c>
      <c r="D8" s="4" t="s">
        <v>121</v>
      </c>
      <c r="E8" s="4" t="s">
        <v>158</v>
      </c>
      <c r="F8" s="4" t="s">
        <v>159</v>
      </c>
      <c r="G8" s="3" t="s">
        <v>160</v>
      </c>
      <c r="H8" s="3" t="s">
        <v>161</v>
      </c>
      <c r="I8" s="3" t="s">
        <v>162</v>
      </c>
      <c r="J8" s="4" t="s">
        <v>163</v>
      </c>
    </row>
    <row r="9" customFormat="false" ht="23.85" hidden="false" customHeight="false" outlineLevel="0" collapsed="false">
      <c r="A9" s="4" t="s">
        <v>164</v>
      </c>
      <c r="B9" s="4" t="s">
        <v>165</v>
      </c>
      <c r="C9" s="4" t="s">
        <v>166</v>
      </c>
      <c r="D9" s="4" t="s">
        <v>167</v>
      </c>
      <c r="E9" s="4" t="s">
        <v>168</v>
      </c>
      <c r="F9" s="4" t="s">
        <v>169</v>
      </c>
      <c r="G9" s="4" t="s">
        <v>170</v>
      </c>
      <c r="H9" s="3" t="s">
        <v>171</v>
      </c>
      <c r="I9" s="3" t="s">
        <v>172</v>
      </c>
      <c r="J9" s="4" t="s">
        <v>163</v>
      </c>
    </row>
    <row r="10" customFormat="false" ht="15" hidden="false" customHeight="false" outlineLevel="0" collapsed="false">
      <c r="A10" s="4" t="s">
        <v>173</v>
      </c>
      <c r="B10" s="4" t="s">
        <v>174</v>
      </c>
      <c r="C10" s="4" t="s">
        <v>175</v>
      </c>
      <c r="D10" s="4" t="s">
        <v>176</v>
      </c>
      <c r="E10" s="3" t="s">
        <v>177</v>
      </c>
      <c r="F10" s="4" t="s">
        <v>15</v>
      </c>
      <c r="G10" s="3" t="s">
        <v>178</v>
      </c>
      <c r="H10" s="3" t="s">
        <v>179</v>
      </c>
      <c r="I10" s="3" t="s">
        <v>126</v>
      </c>
      <c r="J10" s="4" t="s">
        <v>127</v>
      </c>
    </row>
    <row r="11" customFormat="false" ht="15" hidden="false" customHeight="false" outlineLevel="0" collapsed="false">
      <c r="A11" s="4" t="s">
        <v>180</v>
      </c>
      <c r="B11" s="4" t="s">
        <v>181</v>
      </c>
      <c r="C11" s="4" t="s">
        <v>182</v>
      </c>
      <c r="D11" s="4" t="s">
        <v>183</v>
      </c>
      <c r="E11" s="3" t="s">
        <v>184</v>
      </c>
      <c r="F11" s="4" t="s">
        <v>15</v>
      </c>
      <c r="G11" s="4" t="s">
        <v>185</v>
      </c>
      <c r="H11" s="3" t="s">
        <v>186</v>
      </c>
      <c r="I11" s="4" t="s">
        <v>15</v>
      </c>
      <c r="J11" s="3" t="s">
        <v>187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19.4" hidden="false" customHeight="false" outlineLevel="0" collapsed="false">
      <c r="A1" s="1" t="s">
        <v>188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189</v>
      </c>
      <c r="B3" s="2" t="s">
        <v>190</v>
      </c>
      <c r="C3" s="2" t="s">
        <v>191</v>
      </c>
      <c r="D3" s="2" t="s">
        <v>192</v>
      </c>
      <c r="E3" s="2" t="s">
        <v>193</v>
      </c>
      <c r="F3" s="2" t="s">
        <v>6</v>
      </c>
    </row>
    <row r="4" customFormat="false" ht="15" hidden="false" customHeight="false" outlineLevel="0" collapsed="false">
      <c r="A4" s="11" t="s">
        <v>194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195</v>
      </c>
      <c r="B5" s="4" t="s">
        <v>196</v>
      </c>
      <c r="C5" s="6" t="s">
        <v>197</v>
      </c>
      <c r="D5" s="4" t="s">
        <v>198</v>
      </c>
      <c r="E5" s="3" t="s">
        <v>199</v>
      </c>
      <c r="F5" s="3" t="s">
        <v>200</v>
      </c>
    </row>
    <row r="6" customFormat="false" ht="15" hidden="false" customHeight="false" outlineLevel="0" collapsed="false">
      <c r="A6" s="4" t="s">
        <v>201</v>
      </c>
      <c r="B6" s="3" t="s">
        <v>202</v>
      </c>
      <c r="C6" s="6" t="s">
        <v>203</v>
      </c>
      <c r="D6" s="3" t="s">
        <v>204</v>
      </c>
      <c r="E6" s="3" t="s">
        <v>199</v>
      </c>
      <c r="F6" s="3" t="s">
        <v>205</v>
      </c>
    </row>
    <row r="7" customFormat="false" ht="15" hidden="false" customHeight="false" outlineLevel="0" collapsed="false">
      <c r="A7" s="3" t="s">
        <v>206</v>
      </c>
      <c r="B7" s="4" t="s">
        <v>207</v>
      </c>
      <c r="C7" s="6" t="s">
        <v>208</v>
      </c>
      <c r="D7" s="3" t="s">
        <v>209</v>
      </c>
      <c r="E7" s="3" t="s">
        <v>199</v>
      </c>
      <c r="F7" s="3" t="s">
        <v>210</v>
      </c>
    </row>
    <row r="8" customFormat="false" ht="15" hidden="false" customHeight="false" outlineLevel="0" collapsed="false">
      <c r="A8" s="4" t="s">
        <v>211</v>
      </c>
      <c r="B8" s="4" t="s">
        <v>212</v>
      </c>
      <c r="C8" s="6" t="s">
        <v>213</v>
      </c>
      <c r="D8" s="3" t="s">
        <v>199</v>
      </c>
      <c r="E8" s="3" t="s">
        <v>199</v>
      </c>
      <c r="F8" s="3" t="s">
        <v>214</v>
      </c>
    </row>
    <row r="9" customFormat="false" ht="15" hidden="false" customHeight="false" outlineLevel="0" collapsed="false">
      <c r="A9" s="3" t="s">
        <v>215</v>
      </c>
      <c r="B9" s="4" t="s">
        <v>216</v>
      </c>
      <c r="C9" s="6" t="s">
        <v>217</v>
      </c>
      <c r="D9" s="3" t="s">
        <v>199</v>
      </c>
      <c r="E9" s="3" t="s">
        <v>199</v>
      </c>
      <c r="F9" s="3" t="s">
        <v>218</v>
      </c>
    </row>
    <row r="10" customFormat="false" ht="15" hidden="false" customHeight="false" outlineLevel="0" collapsed="false">
      <c r="A10" s="3" t="s">
        <v>219</v>
      </c>
      <c r="B10" s="4" t="s">
        <v>220</v>
      </c>
      <c r="C10" s="6" t="s">
        <v>203</v>
      </c>
      <c r="D10" s="3" t="s">
        <v>199</v>
      </c>
      <c r="E10" s="3" t="s">
        <v>199</v>
      </c>
      <c r="F10" s="3" t="s">
        <v>221</v>
      </c>
    </row>
    <row r="11" customFormat="false" ht="15" hidden="false" customHeight="false" outlineLevel="0" collapsed="false">
      <c r="A11" s="3" t="s">
        <v>222</v>
      </c>
      <c r="B11" s="4" t="s">
        <v>223</v>
      </c>
      <c r="C11" s="6" t="s">
        <v>224</v>
      </c>
      <c r="D11" s="3" t="s">
        <v>225</v>
      </c>
      <c r="E11" s="4" t="s">
        <v>15</v>
      </c>
      <c r="F11" s="3" t="s">
        <v>226</v>
      </c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</row>
    <row r="13" customFormat="false" ht="29.85" hidden="false" customHeight="false" outlineLevel="0" collapsed="false">
      <c r="A13" s="3" t="s">
        <v>227</v>
      </c>
      <c r="B13" s="3"/>
      <c r="C13" s="3" t="s">
        <v>228</v>
      </c>
      <c r="D13" s="3"/>
      <c r="E13" s="3"/>
      <c r="F13" s="3" t="s">
        <v>229</v>
      </c>
    </row>
    <row r="14" customFormat="false" ht="15" hidden="false" customHeight="false" outlineLevel="0" collapsed="false">
      <c r="A14" s="4" t="s">
        <v>230</v>
      </c>
      <c r="B14" s="3"/>
      <c r="C14" s="12" t="n">
        <v>520</v>
      </c>
      <c r="D14" s="3"/>
      <c r="E14" s="3"/>
      <c r="F14" s="3" t="s">
        <v>231</v>
      </c>
    </row>
    <row r="15" customFormat="false" ht="15" hidden="false" customHeight="false" outlineLevel="0" collapsed="false">
      <c r="A15" s="3" t="s">
        <v>232</v>
      </c>
      <c r="B15" s="3"/>
      <c r="C15" s="12" t="n">
        <f aca="false">C14*0.2</f>
        <v>104</v>
      </c>
      <c r="D15" s="3"/>
      <c r="E15" s="3"/>
      <c r="F15" s="3" t="s">
        <v>233</v>
      </c>
    </row>
    <row r="16" customFormat="false" ht="15" hidden="false" customHeight="false" outlineLevel="0" collapsed="false">
      <c r="A16" s="3" t="s">
        <v>234</v>
      </c>
      <c r="B16" s="3"/>
      <c r="C16" s="12" t="n">
        <f aca="false">C14+C15</f>
        <v>624</v>
      </c>
      <c r="D16" s="3"/>
      <c r="E16" s="3"/>
      <c r="F16" s="4" t="s">
        <v>235</v>
      </c>
    </row>
    <row r="17" customFormat="false" ht="15" hidden="false" customHeight="false" outlineLevel="0" collapsed="false">
      <c r="A17" s="3" t="s">
        <v>236</v>
      </c>
      <c r="B17" s="3"/>
      <c r="C17" s="12" t="n">
        <v>2150</v>
      </c>
      <c r="D17" s="3"/>
      <c r="E17" s="3"/>
      <c r="F17" s="4" t="s">
        <v>237</v>
      </c>
    </row>
    <row r="18" customFormat="false" ht="15" hidden="false" customHeight="false" outlineLevel="0" collapsed="false">
      <c r="A18" s="3" t="s">
        <v>238</v>
      </c>
      <c r="B18" s="3"/>
      <c r="C18" s="13" t="n">
        <f aca="false">(C17-C16)/C17</f>
        <v>0.709767441860465</v>
      </c>
      <c r="D18" s="3"/>
      <c r="E18" s="3"/>
      <c r="F18" s="3" t="s">
        <v>239</v>
      </c>
    </row>
    <row r="19" customFormat="false" ht="15" hidden="false" customHeight="false" outlineLevel="0" collapsed="false">
      <c r="A19" s="3" t="s">
        <v>240</v>
      </c>
      <c r="B19" s="3"/>
      <c r="C19" s="12" t="n">
        <f aca="false">C17*0.28</f>
        <v>602</v>
      </c>
      <c r="D19" s="3"/>
      <c r="E19" s="3"/>
      <c r="F19" s="3" t="s">
        <v>241</v>
      </c>
    </row>
    <row r="20" customFormat="false" ht="15" hidden="false" customHeight="false" outlineLevel="0" collapsed="false">
      <c r="A20" s="3" t="s">
        <v>242</v>
      </c>
      <c r="B20" s="3"/>
      <c r="C20" s="12" t="n">
        <f aca="false">C17-C16-C19</f>
        <v>924</v>
      </c>
      <c r="D20" s="3"/>
      <c r="E20" s="3"/>
      <c r="F20" s="3"/>
    </row>
    <row r="21" customFormat="false" ht="15" hidden="false" customHeight="false" outlineLevel="0" collapsed="false">
      <c r="A21" s="3" t="s">
        <v>243</v>
      </c>
      <c r="B21" s="3"/>
      <c r="C21" s="13" t="n">
        <f aca="false">C20/C17</f>
        <v>0.429767441860465</v>
      </c>
      <c r="D21" s="3"/>
      <c r="E21" s="3"/>
      <c r="F21" s="3" t="s">
        <v>244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2026-07-07T09:10:34Z</dcterms:created>
  <dc:creator>openpyxl</dc:creator>
  <dc:description/>
  <dc:language>en-US</dc:language>
  <cp:lastModifiedBy/>
  <dcterms:modified xsi:type="dcterms:W3CDTF">2026-07-07T09:10:34Z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